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12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13.xml" ContentType="application/vnd.openxmlformats-officedocument.spreadsheetml.comments+xml"/>
  <Override PartName="/xl/worksheets/sheet24.xml" ContentType="application/vnd.openxmlformats-officedocument.spreadsheetml.worksheet+xml"/>
  <Override PartName="/xl/comments/comment14.xml" ContentType="application/vnd.openxmlformats-officedocument.spreadsheetml.comments+xml"/>
  <Override PartName="/xl/worksheets/sheet25.xml" ContentType="application/vnd.openxmlformats-officedocument.spreadsheetml.worksheet+xml"/>
  <Override PartName="/xl/comments/comment15.xml" ContentType="application/vnd.openxmlformats-officedocument.spreadsheetml.comments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omments/comment16.xml" ContentType="application/vnd.openxmlformats-officedocument.spreadsheetml.comments+xml"/>
  <Override PartName="/xl/worksheets/sheet31.xml" ContentType="application/vnd.openxmlformats-officedocument.spreadsheetml.worksheet+xml"/>
  <Override PartName="/xl/comments/comment17.xml" ContentType="application/vnd.openxmlformats-officedocument.spreadsheetml.comments+xml"/>
  <Override PartName="/xl/worksheets/sheet32.xml" ContentType="application/vnd.openxmlformats-officedocument.spreadsheetml.worksheet+xml"/>
  <Override PartName="/xl/comments/comment1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9" autoFilterDateGrouping="1"/>
  </bookViews>
  <sheets>
    <sheet xmlns:r="http://schemas.openxmlformats.org/officeDocument/2006/relationships" name="BLD_FLRF_CL150,FL" sheetId="1" state="visible" r:id="rId1"/>
    <sheet xmlns:r="http://schemas.openxmlformats.org/officeDocument/2006/relationships" name="WN_FLRF_CL150,FL,150" sheetId="2" state="visible" r:id="rId2"/>
    <sheet xmlns:r="http://schemas.openxmlformats.org/officeDocument/2006/relationships" name="SO_FLRF_CL150,FL,150" sheetId="3" state="visible" r:id="rId3"/>
    <sheet xmlns:r="http://schemas.openxmlformats.org/officeDocument/2006/relationships" name="TEE_REDUCE_SW_CL3000,FL,3" sheetId="4" state="visible" r:id="rId4"/>
    <sheet xmlns:r="http://schemas.openxmlformats.org/officeDocument/2006/relationships" name="TEE_EQ_SW_CL3000,FL,3000" sheetId="5" state="visible" r:id="rId5"/>
    <sheet xmlns:r="http://schemas.openxmlformats.org/officeDocument/2006/relationships" name="TEE_REDUCE_BW_SCH40,FL,40" sheetId="6" state="visible" r:id="rId6"/>
    <sheet xmlns:r="http://schemas.openxmlformats.org/officeDocument/2006/relationships" name="TEE_EQ_BW_SCH40,FL" sheetId="7" state="visible" r:id="rId7"/>
    <sheet xmlns:r="http://schemas.openxmlformats.org/officeDocument/2006/relationships" name="REDUCER_ECC_BW_SCH40,FL,4" sheetId="8" state="visible" r:id="rId8"/>
    <sheet xmlns:r="http://schemas.openxmlformats.org/officeDocument/2006/relationships" name="REDUCER_CONC_BW_SCH40,FL," sheetId="9" state="visible" r:id="rId9"/>
    <sheet xmlns:r="http://schemas.openxmlformats.org/officeDocument/2006/relationships" name="ELBOW_45_SW_CL3000,FL,300" sheetId="10" state="visible" r:id="rId10"/>
    <sheet xmlns:r="http://schemas.openxmlformats.org/officeDocument/2006/relationships" name="ELBOW_45_LR_BW_SCH40,FL,4" sheetId="11" state="visible" r:id="rId11"/>
    <sheet xmlns:r="http://schemas.openxmlformats.org/officeDocument/2006/relationships" name="VALVE_FL_CL150,FL,150" sheetId="12" state="visible" r:id="rId12"/>
    <sheet xmlns:r="http://schemas.openxmlformats.org/officeDocument/2006/relationships" name="VALVE_FL_RICH,FL,150" sheetId="13" state="visible" r:id="rId13"/>
    <sheet xmlns:r="http://schemas.openxmlformats.org/officeDocument/2006/relationships" name="VALVE_BV_CL150,BV,150" sheetId="14" state="visible" r:id="rId14"/>
    <sheet xmlns:r="http://schemas.openxmlformats.org/officeDocument/2006/relationships" name="VALVE_SW_CL3000,SW,3000" sheetId="15" state="visible" r:id="rId15"/>
    <sheet xmlns:r="http://schemas.openxmlformats.org/officeDocument/2006/relationships" name="VALVE_3WAY,FL,150" sheetId="16" state="visible" r:id="rId16"/>
    <sheet xmlns:r="http://schemas.openxmlformats.org/officeDocument/2006/relationships" name="VALVE_ANGLE,BV,150" sheetId="17" state="visible" r:id="rId17"/>
    <sheet xmlns:r="http://schemas.openxmlformats.org/officeDocument/2006/relationships" name="VALVE_PSV,FL,150" sheetId="18" state="visible" r:id="rId18"/>
    <sheet xmlns:r="http://schemas.openxmlformats.org/officeDocument/2006/relationships" name="ELBOW_90_SR_BW_SCH40,FL,4" sheetId="19" state="visible" r:id="rId19"/>
    <sheet xmlns:r="http://schemas.openxmlformats.org/officeDocument/2006/relationships" name="PIPE_SCH40,BV,40" sheetId="20" state="visible" r:id="rId20"/>
    <sheet xmlns:r="http://schemas.openxmlformats.org/officeDocument/2006/relationships" name="STUD_RF_CL150," sheetId="21" state="visible" r:id="rId21"/>
    <sheet xmlns:r="http://schemas.openxmlformats.org/officeDocument/2006/relationships" name="STUD_LJ_CL150," sheetId="22" state="visible" r:id="rId22"/>
    <sheet xmlns:r="http://schemas.openxmlformats.org/officeDocument/2006/relationships" name="ELBOW_90_SW_CL3000,FL,300" sheetId="23" state="visible" r:id="rId23"/>
    <sheet xmlns:r="http://schemas.openxmlformats.org/officeDocument/2006/relationships" name="ELBOW_90_LR_BW_SCH40,FL,4" sheetId="24" state="visible" r:id="rId24"/>
    <sheet xmlns:r="http://schemas.openxmlformats.org/officeDocument/2006/relationships" name="GSK_RF_CL150,FL,150" sheetId="25" state="visible" r:id="rId25"/>
    <sheet xmlns:r="http://schemas.openxmlformats.org/officeDocument/2006/relationships" name="Catalog Data Flag" sheetId="26" state="hidden" r:id="rId26"/>
    <sheet xmlns:r="http://schemas.openxmlformats.org/officeDocument/2006/relationships" name="STUBEND_LJ_A_SH_BW_SCH40,FL,40" sheetId="27" state="visible" r:id="rId27"/>
    <sheet xmlns:r="http://schemas.openxmlformats.org/officeDocument/2006/relationships" name="LJ_RING_CL150_RF,FL,150" sheetId="28" state="visible" r:id="rId28"/>
    <sheet xmlns:r="http://schemas.openxmlformats.org/officeDocument/2006/relationships" name="STUBEND_LJ_A_BW_SCH40,FL,40" sheetId="29" state="visible" r:id="rId29"/>
    <sheet xmlns:r="http://schemas.openxmlformats.org/officeDocument/2006/relationships" name="GSK_FF_CL150,FL,150" sheetId="30" state="visible" r:id="rId30"/>
    <sheet xmlns:r="http://schemas.openxmlformats.org/officeDocument/2006/relationships" name="THANG_TEST,FL,4" sheetId="31" state="visible" r:id="rId31"/>
    <sheet xmlns:r="http://schemas.openxmlformats.org/officeDocument/2006/relationships" name="TEST_BEND_3D,FL,4" sheetId="32" state="visible" r:id="rId3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"/>
  </numFmts>
  <fonts count="6"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Tahoma"/>
      <family val="2"/>
      <color rgb="FF000000"/>
      <sz val="9"/>
    </font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2" borderId="0" applyProtection="1" pivotButton="0" quotePrefix="0" xfId="0">
      <protection locked="0" hidden="0"/>
    </xf>
    <xf numFmtId="0" fontId="1" fillId="2" borderId="0" pivotButton="0" quotePrefix="0" xfId="0"/>
    <xf numFmtId="0" fontId="2" fillId="0" borderId="0" applyAlignment="1" applyProtection="1" pivotButton="0" quotePrefix="0" xfId="0">
      <alignment horizontal="center" wrapText="1"/>
      <protection locked="0" hidden="0"/>
    </xf>
    <xf numFmtId="2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5" fontId="4" fillId="0" borderId="1" applyAlignment="1" applyProtection="1" pivotButton="0" quotePrefix="0" xfId="0">
      <alignment horizontal="general" vertical="bottom"/>
      <protection locked="0" hidden="0"/>
    </xf>
    <xf numFmtId="165" fontId="4" fillId="0" borderId="1" applyAlignment="1" pivotButton="0" quotePrefix="0" xfId="0">
      <alignment horizontal="general" vertical="bottom"/>
    </xf>
    <xf numFmtId="165" fontId="4" fillId="2" borderId="1" applyAlignment="1" applyProtection="1" pivotButton="0" quotePrefix="0" xfId="0">
      <alignment horizontal="general" vertical="bottom"/>
      <protection locked="0" hidden="0"/>
    </xf>
    <xf numFmtId="165" fontId="5" fillId="0" borderId="1" applyAlignment="1" pivotButton="0" quotePrefix="0" xfId="0">
      <alignment horizontal="general" vertical="bottom"/>
    </xf>
    <xf numFmtId="165" fontId="5" fillId="2" borderId="1" applyAlignment="1" pivotButton="0" quotePrefix="0" xfId="0">
      <alignment horizontal="general" vertical="bottom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1" fillId="2" borderId="0" applyAlignment="1" pivotButton="0" quotePrefix="0" xfId="0">
      <alignment horizontal="general" vertical="bottom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pivotButton="0" quotePrefix="0" xfId="0">
      <alignment horizontal="general" vertical="bottom"/>
    </xf>
    <xf numFmtId="165" fontId="0" fillId="2" borderId="0" applyAlignment="1" applyProtection="1" pivotButton="0" quotePrefix="0" xfId="0">
      <alignment horizontal="general" vertical="bottom"/>
      <protection locked="0" hidden="0"/>
    </xf>
    <xf numFmtId="165" fontId="1" fillId="0" borderId="0" applyAlignment="1" pivotButton="0" quotePrefix="0" xfId="0">
      <alignment horizontal="general" vertical="bottom"/>
    </xf>
    <xf numFmtId="165" fontId="1" fillId="2" borderId="0" applyAlignment="1" pivotButton="0" quotePrefix="0" xfId="0">
      <alignment horizontal="general" vertical="bottom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1" fillId="2" borderId="0" applyAlignment="1" pivotButton="0" quotePrefix="0" xfId="0">
      <alignment horizontal="general" vertical="bottom"/>
    </xf>
    <xf numFmtId="165" fontId="0" fillId="2" borderId="0" applyAlignment="1" applyProtection="1" pivotButton="0" quotePrefix="0" xfId="0">
      <alignment horizontal="general" vertical="bottom"/>
      <protection locked="0" hidden="0"/>
    </xf>
    <xf numFmtId="165" fontId="1" fillId="2" borderId="0" applyAlignment="1" pivotButton="0" quotePrefix="0" xfId="0">
      <alignment horizontal="general" vertical="bottom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1" fillId="2" borderId="0" applyAlignment="1" pivotButton="0" quotePrefix="0" xfId="0">
      <alignment horizontal="general" vertical="bottom"/>
    </xf>
    <xf numFmtId="165" fontId="0" fillId="2" borderId="0" applyAlignment="1" applyProtection="1" pivotButton="0" quotePrefix="0" xfId="0">
      <alignment horizontal="general" vertical="bottom"/>
      <protection locked="0" hidden="0"/>
    </xf>
    <xf numFmtId="165" fontId="1" fillId="2" borderId="0" applyAlignment="1" pivotButton="0" quotePrefix="0" xfId="0">
      <alignment horizontal="general" vertical="bottom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1" fillId="2" borderId="0" applyAlignment="1" pivotButton="0" quotePrefix="0" xfId="0">
      <alignment horizontal="general" vertical="bottom"/>
    </xf>
    <xf numFmtId="165" fontId="0" fillId="2" borderId="0" applyAlignment="1" applyProtection="1" pivotButton="0" quotePrefix="0" xfId="0">
      <alignment horizontal="general" vertical="bottom"/>
      <protection locked="0" hidden="0"/>
    </xf>
    <xf numFmtId="165" fontId="1" fillId="2" borderId="0" applyAlignment="1" pivotButton="0" quotePrefix="0" xfId="0">
      <alignment horizontal="general" vertical="bottom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1" fillId="2" borderId="0" applyAlignment="1" pivotButton="0" quotePrefix="0" xfId="0">
      <alignment horizontal="general" vertical="bottom"/>
    </xf>
    <xf numFmtId="165" fontId="0" fillId="2" borderId="0" applyAlignment="1" applyProtection="1" pivotButton="0" quotePrefix="0" xfId="0">
      <alignment horizontal="general" vertical="bottom"/>
      <protection locked="0" hidden="0"/>
    </xf>
    <xf numFmtId="165" fontId="1" fillId="2" borderId="0" applyAlignment="1" pivotButton="0" quotePrefix="0" xfId="0">
      <alignment horizontal="general" vertical="bottom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1" fillId="2" borderId="0" applyAlignment="1" pivotButton="0" quotePrefix="0" xfId="0">
      <alignment horizontal="general" vertical="bottom"/>
    </xf>
    <xf numFmtId="165" fontId="0" fillId="2" borderId="0" applyAlignment="1" applyProtection="1" pivotButton="0" quotePrefix="0" xfId="0">
      <alignment horizontal="general" vertical="bottom"/>
      <protection locked="0" hidden="0"/>
    </xf>
    <xf numFmtId="165" fontId="1" fillId="2" borderId="0" applyAlignment="1" pivotButton="0" quotePrefix="0" xfId="0">
      <alignment horizontal="general" vertical="bottom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1" fillId="2" borderId="0" applyAlignment="1" pivotButton="0" quotePrefix="0" xfId="0">
      <alignment horizontal="general" vertical="bottom"/>
    </xf>
    <xf numFmtId="165" fontId="0" fillId="2" borderId="0" applyAlignment="1" applyProtection="1" pivotButton="0" quotePrefix="0" xfId="0">
      <alignment horizontal="general" vertical="bottom"/>
      <protection locked="0" hidden="0"/>
    </xf>
    <xf numFmtId="165" fontId="1" fillId="2" borderId="0" applyAlignment="1" pivotButton="0" quotePrefix="0" xfId="0">
      <alignment horizontal="general" vertical="bottom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1" fillId="2" borderId="0" applyAlignment="1" pivotButton="0" quotePrefix="0" xfId="0">
      <alignment horizontal="general" vertical="bottom"/>
    </xf>
    <xf numFmtId="165" fontId="0" fillId="2" borderId="0" applyAlignment="1" applyProtection="1" pivotButton="0" quotePrefix="0" xfId="0">
      <alignment horizontal="general" vertical="bottom"/>
      <protection locked="0" hidden="0"/>
    </xf>
    <xf numFmtId="165" fontId="1" fillId="2" borderId="0" applyAlignment="1" pivotButton="0" quotePrefix="0" xfId="0">
      <alignment horizontal="general" vertical="bottom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1" fillId="2" borderId="0" applyAlignment="1" pivotButton="0" quotePrefix="0" xfId="0">
      <alignment horizontal="general" vertical="bottom"/>
    </xf>
    <xf numFmtId="165" fontId="0" fillId="2" borderId="0" applyAlignment="1" applyProtection="1" pivotButton="0" quotePrefix="0" xfId="0">
      <alignment horizontal="general" vertical="bottom"/>
      <protection locked="0" hidden="0"/>
    </xf>
    <xf numFmtId="165" fontId="1" fillId="2" borderId="0" applyAlignment="1" pivotButton="0" quotePrefix="0" xfId="0">
      <alignment horizontal="general" vertical="bottom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1" fillId="2" borderId="0" applyAlignment="1" pivotButton="0" quotePrefix="0" xfId="0">
      <alignment horizontal="general" vertical="bottom"/>
    </xf>
    <xf numFmtId="165" fontId="0" fillId="2" borderId="0" applyAlignment="1" applyProtection="1" pivotButton="0" quotePrefix="0" xfId="0">
      <alignment horizontal="general" vertical="bottom"/>
      <protection locked="0" hidden="0"/>
    </xf>
    <xf numFmtId="165" fontId="1" fillId="2" borderId="0" applyAlignment="1" pivotButton="0" quotePrefix="0" xfId="0">
      <alignment horizontal="general" vertical="bottom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1" fillId="2" borderId="0" applyAlignment="1" pivotButton="0" quotePrefix="0" xfId="0">
      <alignment horizontal="general" vertical="bottom"/>
    </xf>
    <xf numFmtId="165" fontId="0" fillId="2" borderId="0" applyAlignment="1" applyProtection="1" pivotButton="0" quotePrefix="0" xfId="0">
      <alignment horizontal="general" vertical="bottom"/>
      <protection locked="0" hidden="0"/>
    </xf>
    <xf numFmtId="165" fontId="1" fillId="2" borderId="0" applyAlignment="1" pivotButton="0" quotePrefix="0" xfId="0">
      <alignment horizontal="general" vertical="bottom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1" fillId="2" borderId="0" applyAlignment="1" pivotButton="0" quotePrefix="0" xfId="0">
      <alignment horizontal="general" vertical="bottom"/>
    </xf>
    <xf numFmtId="165" fontId="0" fillId="2" borderId="0" applyAlignment="1" applyProtection="1" pivotButton="0" quotePrefix="0" xfId="0">
      <alignment horizontal="general" vertical="bottom"/>
      <protection locked="0" hidden="0"/>
    </xf>
    <xf numFmtId="165" fontId="1" fillId="2" borderId="0" applyAlignment="1" pivotButton="0" quotePrefix="0" xfId="0">
      <alignment horizontal="general" vertical="bottom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1" fillId="2" borderId="0" applyAlignment="1" pivotButton="0" quotePrefix="0" xfId="0">
      <alignment horizontal="general" vertical="bottom"/>
    </xf>
    <xf numFmtId="165" fontId="0" fillId="2" borderId="0" applyAlignment="1" applyProtection="1" pivotButton="0" quotePrefix="0" xfId="0">
      <alignment horizontal="general" vertical="bottom"/>
      <protection locked="0" hidden="0"/>
    </xf>
    <xf numFmtId="165" fontId="1" fillId="2" borderId="0" applyAlignment="1" pivotButton="0" quotePrefix="0" xfId="0">
      <alignment horizontal="general" vertical="bottom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1" fillId="2" borderId="0" applyAlignment="1" pivotButton="0" quotePrefix="0" xfId="0">
      <alignment horizontal="general" vertical="bottom"/>
    </xf>
    <xf numFmtId="165" fontId="0" fillId="2" borderId="0" applyAlignment="1" applyProtection="1" pivotButton="0" quotePrefix="0" xfId="0">
      <alignment horizontal="general" vertical="bottom"/>
      <protection locked="0" hidden="0"/>
    </xf>
    <xf numFmtId="165" fontId="1" fillId="2" borderId="0" applyAlignment="1" pivotButton="0" quotePrefix="0" xfId="0">
      <alignment horizontal="general" vertical="bottom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1" fillId="2" borderId="0" applyAlignment="1" pivotButton="0" quotePrefix="0" xfId="0">
      <alignment horizontal="general" vertical="bottom"/>
    </xf>
    <xf numFmtId="165" fontId="0" fillId="2" borderId="0" applyAlignment="1" applyProtection="1" pivotButton="0" quotePrefix="0" xfId="0">
      <alignment horizontal="general" vertical="bottom"/>
      <protection locked="0" hidden="0"/>
    </xf>
    <xf numFmtId="165" fontId="1" fillId="2" borderId="0" applyAlignment="1" pivotButton="0" quotePrefix="0" xfId="0">
      <alignment horizontal="general" vertical="bottom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1" fillId="2" borderId="0" applyAlignment="1" pivotButton="0" quotePrefix="0" xfId="0">
      <alignment horizontal="general" vertical="bottom"/>
    </xf>
    <xf numFmtId="165" fontId="0" fillId="2" borderId="0" applyAlignment="1" applyProtection="1" pivotButton="0" quotePrefix="0" xfId="0">
      <alignment horizontal="general" vertical="bottom"/>
      <protection locked="0" hidden="0"/>
    </xf>
    <xf numFmtId="165" fontId="1" fillId="2" borderId="0" applyAlignment="1" pivotButton="0" quotePrefix="0" xfId="0">
      <alignment horizontal="general" vertical="bottom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omments/comment1.xml><?xml version="1.0" encoding="utf-8"?>
<comments xmlns="http://schemas.openxmlformats.org/spreadsheetml/2006/main">
  <authors>
    <author>dinht</author>
  </authors>
  <commentList>
    <comment ref="A1" authorId="0" shapeId="0">
      <text>
        <t/>
      </text>
    </comment>
    <comment ref="G2" authorId="0" shapeId="0">
      <text>
        <t/>
      </text>
    </comment>
    <comment ref="H2" authorId="0" shapeId="0">
      <text>
        <t/>
      </text>
    </comment>
    <comment ref="I2" authorId="0" shapeId="0">
      <text>
        <t/>
      </text>
    </comment>
    <comment ref="J2" authorId="0" shapeId="0">
      <text>
        <t/>
      </text>
    </comment>
    <comment ref="K2" authorId="0" shapeId="0">
      <text>
        <t/>
      </text>
    </comment>
    <comment ref="L2" authorId="0" shapeId="0">
      <text>
        <t/>
      </text>
    </comment>
    <comment ref="M2" authorId="0" shapeId="0">
      <text>
        <t/>
      </text>
    </comment>
    <comment ref="N2" authorId="0" shapeId="0">
      <text>
        <t/>
      </text>
    </comment>
    <comment ref="O2" authorId="0" shapeId="0">
      <text>
        <t/>
      </text>
    </comment>
    <comment ref="P2" authorId="0" shapeId="0">
      <text>
        <t/>
      </text>
    </comment>
    <comment ref="Q2" authorId="0" shapeId="0">
      <text>
        <t/>
      </text>
    </comment>
    <comment ref="R2" authorId="0" shapeId="0">
      <text>
        <t/>
      </text>
    </comment>
    <comment ref="S2" authorId="0" shapeId="0">
      <text>
        <t/>
      </text>
    </comment>
    <comment ref="T2" authorId="0" shapeId="0">
      <text>
        <t/>
      </text>
    </comment>
    <comment ref="U2" authorId="0" shapeId="0">
      <text>
        <t/>
      </text>
    </comment>
    <comment ref="V2" authorId="0" shapeId="0">
      <text>
        <t/>
      </text>
    </comment>
    <comment ref="W2" authorId="0" shapeId="0">
      <text>
        <t/>
      </text>
    </comment>
    <comment ref="X2" authorId="0" shapeId="0">
      <text>
        <t/>
      </text>
    </comment>
    <comment ref="Y2" authorId="0" shapeId="0">
      <text>
        <t/>
      </text>
    </comment>
    <comment ref="Z2" authorId="0" shapeId="0">
      <text>
        <t/>
      </text>
    </comment>
    <comment ref="AA2" authorId="0" shapeId="0">
      <text>
        <t/>
      </text>
    </comment>
    <comment ref="AB2" authorId="0" shapeId="0">
      <text>
        <t/>
      </text>
    </comment>
    <comment ref="AC2" authorId="0" shapeId="0">
      <text>
        <t/>
      </text>
    </comment>
    <comment ref="AD2" authorId="0" shapeId="0">
      <text>
        <t/>
      </text>
    </comment>
    <comment ref="AG2" authorId="0" shapeId="0">
      <text>
        <t/>
      </text>
    </comment>
    <comment ref="AH2" authorId="0" shapeId="0">
      <text>
        <t/>
      </text>
    </comment>
    <comment ref="AI2" authorId="0" shapeId="0">
      <text>
        <t/>
      </text>
    </comment>
    <comment ref="AJ2" authorId="0" shapeId="0">
      <text>
        <t/>
      </text>
    </comment>
    <comment ref="AK2" authorId="0" shapeId="0">
      <text>
        <t/>
      </text>
    </comment>
    <comment ref="AL2" authorId="0" shapeId="0">
      <text>
        <t/>
      </text>
    </comment>
    <comment ref="AM2" authorId="0" shapeId="0">
      <text>
        <t/>
      </text>
    </comment>
    <comment ref="AN2" authorId="0" shapeId="0">
      <text>
        <t/>
      </text>
    </comment>
    <comment ref="AO2" authorId="0" shapeId="0">
      <text>
        <t/>
      </text>
    </comment>
    <comment ref="AP2" authorId="0" shapeId="0">
      <text>
        <t/>
      </text>
    </comment>
    <comment ref="AQ2" authorId="0" shapeId="0">
      <text>
        <t/>
      </text>
    </comment>
    <comment ref="AR2" authorId="0" shapeId="0">
      <text>
        <t/>
      </text>
    </comment>
  </commentList>
</comments>
</file>

<file path=xl/comments/comment2.xml><?xml version="1.0" encoding="utf-8"?>
<comments xmlns="http://schemas.openxmlformats.org/spreadsheetml/2006/main">
  <authors>
    <author>dinht</author>
  </authors>
  <commentList>
    <comment ref="A1" authorId="0" shapeId="0">
      <text>
        <t/>
      </text>
    </comment>
    <comment ref="G2" authorId="0" shapeId="0">
      <text>
        <t/>
      </text>
    </comment>
    <comment ref="H2" authorId="0" shapeId="0">
      <text>
        <t/>
      </text>
    </comment>
    <comment ref="I2" authorId="0" shapeId="0">
      <text>
        <t/>
      </text>
    </comment>
    <comment ref="J2" authorId="0" shapeId="0">
      <text>
        <t/>
      </text>
    </comment>
    <comment ref="K2" authorId="0" shapeId="0">
      <text>
        <t/>
      </text>
    </comment>
    <comment ref="L2" authorId="0" shapeId="0">
      <text>
        <t/>
      </text>
    </comment>
    <comment ref="M2" authorId="0" shapeId="0">
      <text>
        <t/>
      </text>
    </comment>
    <comment ref="N2" authorId="0" shapeId="0">
      <text>
        <t/>
      </text>
    </comment>
    <comment ref="O2" authorId="0" shapeId="0">
      <text>
        <t/>
      </text>
    </comment>
    <comment ref="P2" authorId="0" shapeId="0">
      <text>
        <t/>
      </text>
    </comment>
    <comment ref="Q2" authorId="0" shapeId="0">
      <text>
        <t/>
      </text>
    </comment>
    <comment ref="R2" authorId="0" shapeId="0">
      <text>
        <t/>
      </text>
    </comment>
    <comment ref="S2" authorId="0" shapeId="0">
      <text>
        <t/>
      </text>
    </comment>
    <comment ref="T2" authorId="0" shapeId="0">
      <text>
        <t/>
      </text>
    </comment>
    <comment ref="U2" authorId="0" shapeId="0">
      <text>
        <t/>
      </text>
    </comment>
    <comment ref="V2" authorId="0" shapeId="0">
      <text>
        <t/>
      </text>
    </comment>
    <comment ref="W2" authorId="0" shapeId="0">
      <text>
        <t/>
      </text>
    </comment>
    <comment ref="X2" authorId="0" shapeId="0">
      <text>
        <t/>
      </text>
    </comment>
    <comment ref="Y2" authorId="0" shapeId="0">
      <text>
        <t/>
      </text>
    </comment>
    <comment ref="Z2" authorId="0" shapeId="0">
      <text>
        <t/>
      </text>
    </comment>
    <comment ref="AA2" authorId="0" shapeId="0">
      <text>
        <t/>
      </text>
    </comment>
    <comment ref="AB2" authorId="0" shapeId="0">
      <text>
        <t/>
      </text>
    </comment>
    <comment ref="AC2" authorId="0" shapeId="0">
      <text>
        <t/>
      </text>
    </comment>
    <comment ref="AD2" authorId="0" shapeId="0">
      <text>
        <t/>
      </text>
    </comment>
    <comment ref="AE2" authorId="0" shapeId="0">
      <text>
        <t/>
      </text>
    </comment>
    <comment ref="AF2" authorId="0" shapeId="0">
      <text>
        <t/>
      </text>
    </comment>
    <comment ref="AG2" authorId="0" shapeId="0">
      <text>
        <t/>
      </text>
    </comment>
    <comment ref="AH2" authorId="0" shapeId="0">
      <text>
        <t/>
      </text>
    </comment>
    <comment ref="AI2" authorId="0" shapeId="0">
      <text>
        <t/>
      </text>
    </comment>
    <comment ref="AJ2" authorId="0" shapeId="0">
      <text>
        <t/>
      </text>
    </comment>
    <comment ref="AK2" authorId="0" shapeId="0">
      <text>
        <t/>
      </text>
    </comment>
    <comment ref="AL2" authorId="0" shapeId="0">
      <text>
        <t/>
      </text>
    </comment>
    <comment ref="AM2" authorId="0" shapeId="0">
      <text>
        <t/>
      </text>
    </comment>
    <comment ref="AN2" authorId="0" shapeId="0">
      <text>
        <t/>
      </text>
    </comment>
    <comment ref="AO2" authorId="0" shapeId="0">
      <text>
        <t/>
      </text>
    </comment>
    <comment ref="AP2" authorId="0" shapeId="0">
      <text>
        <t/>
      </text>
    </comment>
    <comment ref="AQ2" authorId="0" shapeId="0">
      <text>
        <t/>
      </text>
    </comment>
    <comment ref="AR2" authorId="0" shapeId="0">
      <text>
        <t/>
      </text>
    </comment>
    <comment ref="AS2" authorId="0" shapeId="0">
      <text>
        <t/>
      </text>
    </comment>
    <comment ref="AV2" authorId="0" shapeId="0">
      <text>
        <t/>
      </text>
    </comment>
    <comment ref="AW2" authorId="0" shapeId="0">
      <text>
        <t/>
      </text>
    </comment>
    <comment ref="AX2" authorId="0" shapeId="0">
      <text>
        <t/>
      </text>
    </comment>
    <comment ref="AY2" authorId="0" shapeId="0">
      <text>
        <t/>
      </text>
    </comment>
    <comment ref="AZ2" authorId="0" shapeId="0">
      <text>
        <t/>
      </text>
    </comment>
    <comment ref="BA2" authorId="0" shapeId="0">
      <text>
        <t/>
      </text>
    </comment>
    <comment ref="BB2" authorId="0" shapeId="0">
      <text>
        <t/>
      </text>
    </comment>
    <comment ref="BC2" authorId="0" shapeId="0">
      <text>
        <t/>
      </text>
    </comment>
    <comment ref="BD2" authorId="0" shapeId="0">
      <text>
        <t/>
      </text>
    </comment>
    <comment ref="BE2" authorId="0" shapeId="0">
      <text>
        <t/>
      </text>
    </comment>
    <comment ref="BF2" authorId="0" shapeId="0">
      <text>
        <t/>
      </text>
    </comment>
    <comment ref="BG2" authorId="0" shapeId="0">
      <text>
        <t/>
      </text>
    </comment>
  </commentList>
</comments>
</file>

<file path=xl/comments/comment3.xml><?xml version="1.0" encoding="utf-8"?>
<comments xmlns="http://schemas.openxmlformats.org/spreadsheetml/2006/main">
  <authors>
    <author>dinht</author>
  </authors>
  <commentList>
    <comment ref="A1" authorId="0" shapeId="0">
      <text>
        <t/>
      </text>
    </comment>
    <comment ref="H2" authorId="0" shapeId="0">
      <text>
        <t/>
      </text>
    </comment>
    <comment ref="I2" authorId="0" shapeId="0">
      <text>
        <t/>
      </text>
    </comment>
    <comment ref="J2" authorId="0" shapeId="0">
      <text>
        <t/>
      </text>
    </comment>
    <comment ref="K2" authorId="0" shapeId="0">
      <text>
        <t/>
      </text>
    </comment>
    <comment ref="L2" authorId="0" shapeId="0">
      <text>
        <t/>
      </text>
    </comment>
    <comment ref="M2" authorId="0" shapeId="0">
      <text>
        <t/>
      </text>
    </comment>
    <comment ref="N2" authorId="0" shapeId="0">
      <text>
        <t/>
      </text>
    </comment>
    <comment ref="O2" authorId="0" shapeId="0">
      <text>
        <t/>
      </text>
    </comment>
    <comment ref="P2" authorId="0" shapeId="0">
      <text>
        <t/>
      </text>
    </comment>
    <comment ref="Q2" authorId="0" shapeId="0">
      <text>
        <t/>
      </text>
    </comment>
    <comment ref="R2" authorId="0" shapeId="0">
      <text>
        <t/>
      </text>
    </comment>
    <comment ref="S2" authorId="0" shapeId="0">
      <text>
        <t/>
      </text>
    </comment>
    <comment ref="T2" authorId="0" shapeId="0">
      <text>
        <t/>
      </text>
    </comment>
    <comment ref="U2" authorId="0" shapeId="0">
      <text>
        <t/>
      </text>
    </comment>
    <comment ref="V2" authorId="0" shapeId="0">
      <text>
        <t/>
      </text>
    </comment>
    <comment ref="W2" authorId="0" shapeId="0">
      <text>
        <t/>
      </text>
    </comment>
    <comment ref="X2" authorId="0" shapeId="0">
      <text>
        <t/>
      </text>
    </comment>
    <comment ref="Y2" authorId="0" shapeId="0">
      <text>
        <t/>
      </text>
    </comment>
    <comment ref="Z2" authorId="0" shapeId="0">
      <text>
        <t/>
      </text>
    </comment>
    <comment ref="AA2" authorId="0" shapeId="0">
      <text>
        <t/>
      </text>
    </comment>
    <comment ref="AB2" authorId="0" shapeId="0">
      <text>
        <t/>
      </text>
    </comment>
    <comment ref="AC2" authorId="0" shapeId="0">
      <text>
        <t/>
      </text>
    </comment>
    <comment ref="AD2" authorId="0" shapeId="0">
      <text>
        <t/>
      </text>
    </comment>
    <comment ref="AE2" authorId="0" shapeId="0">
      <text>
        <t/>
      </text>
    </comment>
    <comment ref="AF2" authorId="0" shapeId="0">
      <text>
        <t/>
      </text>
    </comment>
    <comment ref="AG2" authorId="0" shapeId="0">
      <text>
        <t/>
      </text>
    </comment>
    <comment ref="AH2" authorId="0" shapeId="0">
      <text>
        <t/>
      </text>
    </comment>
    <comment ref="AI2" authorId="0" shapeId="0">
      <text>
        <t/>
      </text>
    </comment>
    <comment ref="AJ2" authorId="0" shapeId="0">
      <text>
        <t/>
      </text>
    </comment>
    <comment ref="AK2" authorId="0" shapeId="0">
      <text>
        <t/>
      </text>
    </comment>
    <comment ref="AL2" authorId="0" shapeId="0">
      <text>
        <t/>
      </text>
    </comment>
    <comment ref="AM2" authorId="0" shapeId="0">
      <text>
        <t/>
      </text>
    </comment>
    <comment ref="AN2" authorId="0" shapeId="0">
      <text>
        <t/>
      </text>
    </comment>
    <comment ref="AO2" authorId="0" shapeId="0">
      <text>
        <t/>
      </text>
    </comment>
    <comment ref="AP2" authorId="0" shapeId="0">
      <text>
        <t/>
      </text>
    </comment>
    <comment ref="AQ2" authorId="0" shapeId="0">
      <text>
        <t/>
      </text>
    </comment>
    <comment ref="AR2" authorId="0" shapeId="0">
      <text>
        <t/>
      </text>
    </comment>
    <comment ref="AS2" authorId="0" shapeId="0">
      <text>
        <t/>
      </text>
    </comment>
    <comment ref="AT2" authorId="0" shapeId="0">
      <text>
        <t/>
      </text>
    </comment>
    <comment ref="AW2" authorId="0" shapeId="0">
      <text>
        <t/>
      </text>
    </comment>
    <comment ref="AX2" authorId="0" shapeId="0">
      <text>
        <t/>
      </text>
    </comment>
    <comment ref="AY2" authorId="0" shapeId="0">
      <text>
        <t/>
      </text>
    </comment>
    <comment ref="AZ2" authorId="0" shapeId="0">
      <text>
        <t/>
      </text>
    </comment>
    <comment ref="BA2" authorId="0" shapeId="0">
      <text>
        <t/>
      </text>
    </comment>
    <comment ref="BB2" authorId="0" shapeId="0">
      <text>
        <t/>
      </text>
    </comment>
    <comment ref="BC2" authorId="0" shapeId="0">
      <text>
        <t/>
      </text>
    </comment>
    <comment ref="BD2" authorId="0" shapeId="0">
      <text>
        <t/>
      </text>
    </comment>
    <comment ref="BE2" authorId="0" shapeId="0">
      <text>
        <t/>
      </text>
    </comment>
    <comment ref="BF2" authorId="0" shapeId="0">
      <text>
        <t/>
      </text>
    </comment>
    <comment ref="BG2" authorId="0" shapeId="0">
      <text>
        <t/>
      </text>
    </comment>
    <comment ref="BH2" authorId="0" shapeId="0">
      <text>
        <t/>
      </text>
    </comment>
  </commentList>
</comments>
</file>

<file path=xl/comments/comment4.xml><?xml version="1.0" encoding="utf-8"?>
<comments xmlns="http://schemas.openxmlformats.org/spreadsheetml/2006/main">
  <authors>
    <author>dinht</author>
  </authors>
  <commentList>
    <comment ref="A1" authorId="0" shapeId="0">
      <text>
        <t/>
      </text>
    </comment>
    <comment ref="H2" authorId="0" shapeId="0">
      <text>
        <t/>
      </text>
    </comment>
    <comment ref="I2" authorId="0" shapeId="0">
      <text>
        <t/>
      </text>
    </comment>
    <comment ref="J2" authorId="0" shapeId="0">
      <text>
        <t/>
      </text>
    </comment>
    <comment ref="K2" authorId="0" shapeId="0">
      <text>
        <t/>
      </text>
    </comment>
    <comment ref="L2" authorId="0" shapeId="0">
      <text>
        <t/>
      </text>
    </comment>
    <comment ref="M2" authorId="0" shapeId="0">
      <text>
        <t/>
      </text>
    </comment>
    <comment ref="N2" authorId="0" shapeId="0">
      <text>
        <t/>
      </text>
    </comment>
    <comment ref="O2" authorId="0" shapeId="0">
      <text>
        <t/>
      </text>
    </comment>
    <comment ref="P2" authorId="0" shapeId="0">
      <text>
        <t/>
      </text>
    </comment>
    <comment ref="Q2" authorId="0" shapeId="0">
      <text>
        <t/>
      </text>
    </comment>
    <comment ref="R2" authorId="0" shapeId="0">
      <text>
        <t/>
      </text>
    </comment>
    <comment ref="S2" authorId="0" shapeId="0">
      <text>
        <t/>
      </text>
    </comment>
    <comment ref="T2" authorId="0" shapeId="0">
      <text>
        <t/>
      </text>
    </comment>
    <comment ref="U2" authorId="0" shapeId="0">
      <text>
        <t/>
      </text>
    </comment>
    <comment ref="V2" authorId="0" shapeId="0">
      <text>
        <t/>
      </text>
    </comment>
    <comment ref="BA2" authorId="0" shapeId="0">
      <text>
        <t/>
      </text>
    </comment>
    <comment ref="BB2" authorId="0" shapeId="0">
      <text>
        <t/>
      </text>
    </comment>
    <comment ref="BC2" authorId="0" shapeId="0">
      <text>
        <t/>
      </text>
    </comment>
    <comment ref="BD2" authorId="0" shapeId="0">
      <text>
        <t/>
      </text>
    </comment>
    <comment ref="BE2" authorId="0" shapeId="0">
      <text>
        <t/>
      </text>
    </comment>
    <comment ref="BF2" authorId="0" shapeId="0">
      <text>
        <t/>
      </text>
    </comment>
    <comment ref="BG2" authorId="0" shapeId="0">
      <text>
        <t/>
      </text>
    </comment>
    <comment ref="BH2" authorId="0" shapeId="0">
      <text>
        <t/>
      </text>
    </comment>
    <comment ref="BI2" authorId="0" shapeId="0">
      <text>
        <t/>
      </text>
    </comment>
    <comment ref="BL2" authorId="0" shapeId="0">
      <text>
        <t/>
      </text>
    </comment>
    <comment ref="BM2" authorId="0" shapeId="0">
      <text>
        <t/>
      </text>
    </comment>
    <comment ref="BN2" authorId="0" shapeId="0">
      <text>
        <t/>
      </text>
    </comment>
    <comment ref="BO2" authorId="0" shapeId="0">
      <text>
        <t/>
      </text>
    </comment>
    <comment ref="BP2" authorId="0" shapeId="0">
      <text>
        <t/>
      </text>
    </comment>
    <comment ref="BQ2" authorId="0" shapeId="0">
      <text>
        <t/>
      </text>
    </comment>
    <comment ref="BR2" authorId="0" shapeId="0">
      <text>
        <t/>
      </text>
    </comment>
    <comment ref="BS2" authorId="0" shapeId="0">
      <text>
        <t/>
      </text>
    </comment>
    <comment ref="BT2" authorId="0" shapeId="0">
      <text>
        <t/>
      </text>
    </comment>
    <comment ref="BU2" authorId="0" shapeId="0">
      <text>
        <t/>
      </text>
    </comment>
    <comment ref="BV2" authorId="0" shapeId="0">
      <text>
        <t/>
      </text>
    </comment>
    <comment ref="BW2" authorId="0" shapeId="0">
      <text>
        <t/>
      </text>
    </comment>
    <comment ref="BX2" authorId="0" shapeId="0">
      <text>
        <t/>
      </text>
    </comment>
    <comment ref="BY2" authorId="0" shapeId="0">
      <text>
        <t/>
      </text>
    </comment>
    <comment ref="BZ2" authorId="0" shapeId="0">
      <text>
        <t/>
      </text>
    </comment>
    <comment ref="CA2" authorId="0" shapeId="0">
      <text>
        <t/>
      </text>
    </comment>
  </commentList>
</comments>
</file>

<file path=xl/comments/comment5.xml><?xml version="1.0" encoding="utf-8"?>
<comments xmlns="http://schemas.openxmlformats.org/spreadsheetml/2006/main">
  <authors>
    <author>dinht</author>
  </authors>
  <commentList>
    <comment ref="A1" authorId="0" shapeId="0">
      <text>
        <t/>
      </text>
    </comment>
    <comment ref="G2" authorId="0" shapeId="0">
      <text>
        <t/>
      </text>
    </comment>
    <comment ref="H2" authorId="0" shapeId="0">
      <text>
        <t/>
      </text>
    </comment>
    <comment ref="I2" authorId="0" shapeId="0">
      <text>
        <t/>
      </text>
    </comment>
    <comment ref="J2" authorId="0" shapeId="0">
      <text>
        <t/>
      </text>
    </comment>
    <comment ref="K2" authorId="0" shapeId="0">
      <text>
        <t/>
      </text>
    </comment>
    <comment ref="L2" authorId="0" shapeId="0">
      <text>
        <t/>
      </text>
    </comment>
    <comment ref="M2" authorId="0" shapeId="0">
      <text>
        <t/>
      </text>
    </comment>
    <comment ref="N2" authorId="0" shapeId="0">
      <text>
        <t/>
      </text>
    </comment>
    <comment ref="O2" authorId="0" shapeId="0">
      <text>
        <t/>
      </text>
    </comment>
    <comment ref="P2" authorId="0" shapeId="0">
      <text>
        <t/>
      </text>
    </comment>
    <comment ref="Q2" authorId="0" shapeId="0">
      <text>
        <t/>
      </text>
    </comment>
    <comment ref="R2" authorId="0" shapeId="0">
      <text>
        <t/>
      </text>
    </comment>
    <comment ref="S2" authorId="0" shapeId="0">
      <text>
        <t/>
      </text>
    </comment>
    <comment ref="T2" authorId="0" shapeId="0">
      <text>
        <t/>
      </text>
    </comment>
    <comment ref="U2" authorId="0" shapeId="0">
      <text>
        <t/>
      </text>
    </comment>
    <comment ref="AZ2" authorId="0" shapeId="0">
      <text>
        <t/>
      </text>
    </comment>
    <comment ref="BA2" authorId="0" shapeId="0">
      <text>
        <t/>
      </text>
    </comment>
    <comment ref="BB2" authorId="0" shapeId="0">
      <text>
        <t/>
      </text>
    </comment>
    <comment ref="BC2" authorId="0" shapeId="0">
      <text>
        <t/>
      </text>
    </comment>
    <comment ref="BD2" authorId="0" shapeId="0">
      <text>
        <t/>
      </text>
    </comment>
    <comment ref="BE2" authorId="0" shapeId="0">
      <text>
        <t/>
      </text>
    </comment>
    <comment ref="BF2" authorId="0" shapeId="0">
      <text>
        <t/>
      </text>
    </comment>
    <comment ref="BG2" authorId="0" shapeId="0">
      <text>
        <t/>
      </text>
    </comment>
    <comment ref="BH2" authorId="0" shapeId="0">
      <text>
        <t/>
      </text>
    </comment>
    <comment ref="BK2" authorId="0" shapeId="0">
      <text>
        <t/>
      </text>
    </comment>
    <comment ref="BL2" authorId="0" shapeId="0">
      <text>
        <t/>
      </text>
    </comment>
    <comment ref="BM2" authorId="0" shapeId="0">
      <text>
        <t/>
      </text>
    </comment>
    <comment ref="BN2" authorId="0" shapeId="0">
      <text>
        <t/>
      </text>
    </comment>
    <comment ref="BO2" authorId="0" shapeId="0">
      <text>
        <t/>
      </text>
    </comment>
    <comment ref="BP2" authorId="0" shapeId="0">
      <text>
        <t/>
      </text>
    </comment>
    <comment ref="BQ2" authorId="0" shapeId="0">
      <text>
        <t/>
      </text>
    </comment>
    <comment ref="BR2" authorId="0" shapeId="0">
      <text>
        <t/>
      </text>
    </comment>
    <comment ref="BS2" authorId="0" shapeId="0">
      <text>
        <t/>
      </text>
    </comment>
    <comment ref="BT2" authorId="0" shapeId="0">
      <text>
        <t/>
      </text>
    </comment>
    <comment ref="BU2" authorId="0" shapeId="0">
      <text>
        <t/>
      </text>
    </comment>
    <comment ref="BV2" authorId="0" shapeId="0">
      <text>
        <t/>
      </text>
    </comment>
    <comment ref="BW2" authorId="0" shapeId="0">
      <text>
        <t/>
      </text>
    </comment>
    <comment ref="BX2" authorId="0" shapeId="0">
      <text>
        <t/>
      </text>
    </comment>
    <comment ref="BY2" authorId="0" shapeId="0">
      <text>
        <t/>
      </text>
    </comment>
    <comment ref="BZ2" authorId="0" shapeId="0">
      <text>
        <t/>
      </text>
    </comment>
  </commentList>
</comments>
</file>

<file path=xl/comments/comment6.xml><?xml version="1.0" encoding="utf-8"?>
<comments xmlns="http://schemas.openxmlformats.org/spreadsheetml/2006/main">
  <authors>
    <author>dinht</author>
  </authors>
  <commentList>
    <comment ref="A1" authorId="0" shapeId="0">
      <text>
        <t/>
      </text>
    </comment>
    <comment ref="H2" authorId="0" shapeId="0">
      <text>
        <t/>
      </text>
    </comment>
    <comment ref="I2" authorId="0" shapeId="0">
      <text>
        <t/>
      </text>
    </comment>
    <comment ref="J2" authorId="0" shapeId="0">
      <text>
        <t/>
      </text>
    </comment>
    <comment ref="K2" authorId="0" shapeId="0">
      <text>
        <t/>
      </text>
    </comment>
    <comment ref="L2" authorId="0" shapeId="0">
      <text>
        <t/>
      </text>
    </comment>
    <comment ref="M2" authorId="0" shapeId="0">
      <text>
        <t/>
      </text>
    </comment>
    <comment ref="N2" authorId="0" shapeId="0">
      <text>
        <t/>
      </text>
    </comment>
    <comment ref="O2" authorId="0" shapeId="0">
      <text>
        <t/>
      </text>
    </comment>
    <comment ref="P2" authorId="0" shapeId="0">
      <text>
        <t/>
      </text>
    </comment>
    <comment ref="Q2" authorId="0" shapeId="0">
      <text>
        <t/>
      </text>
    </comment>
    <comment ref="R2" authorId="0" shapeId="0">
      <text>
        <t/>
      </text>
    </comment>
    <comment ref="S2" authorId="0" shapeId="0">
      <text>
        <t/>
      </text>
    </comment>
    <comment ref="T2" authorId="0" shapeId="0">
      <text>
        <t/>
      </text>
    </comment>
    <comment ref="U2" authorId="0" shapeId="0">
      <text>
        <t/>
      </text>
    </comment>
    <comment ref="V2" authorId="0" shapeId="0">
      <text>
        <t/>
      </text>
    </comment>
    <comment ref="BA2" authorId="0" shapeId="0">
      <text>
        <t/>
      </text>
    </comment>
    <comment ref="BB2" authorId="0" shapeId="0">
      <text>
        <t/>
      </text>
    </comment>
    <comment ref="BC2" authorId="0" shapeId="0">
      <text>
        <t/>
      </text>
    </comment>
    <comment ref="BD2" authorId="0" shapeId="0">
      <text>
        <t/>
      </text>
    </comment>
    <comment ref="BE2" authorId="0" shapeId="0">
      <text>
        <t/>
      </text>
    </comment>
    <comment ref="BF2" authorId="0" shapeId="0">
      <text>
        <t/>
      </text>
    </comment>
    <comment ref="BG2" authorId="0" shapeId="0">
      <text>
        <t/>
      </text>
    </comment>
    <comment ref="BH2" authorId="0" shapeId="0">
      <text>
        <t/>
      </text>
    </comment>
    <comment ref="BI2" authorId="0" shapeId="0">
      <text>
        <t/>
      </text>
    </comment>
    <comment ref="BL2" authorId="0" shapeId="0">
      <text>
        <t/>
      </text>
    </comment>
    <comment ref="BM2" authorId="0" shapeId="0">
      <text>
        <t/>
      </text>
    </comment>
    <comment ref="BN2" authorId="0" shapeId="0">
      <text>
        <t/>
      </text>
    </comment>
    <comment ref="BO2" authorId="0" shapeId="0">
      <text>
        <t/>
      </text>
    </comment>
    <comment ref="BP2" authorId="0" shapeId="0">
      <text>
        <t/>
      </text>
    </comment>
    <comment ref="BQ2" authorId="0" shapeId="0">
      <text>
        <t/>
      </text>
    </comment>
    <comment ref="BR2" authorId="0" shapeId="0">
      <text>
        <t/>
      </text>
    </comment>
    <comment ref="BS2" authorId="0" shapeId="0">
      <text>
        <t/>
      </text>
    </comment>
    <comment ref="BT2" authorId="0" shapeId="0">
      <text>
        <t/>
      </text>
    </comment>
    <comment ref="BU2" authorId="0" shapeId="0">
      <text>
        <t/>
      </text>
    </comment>
    <comment ref="BV2" authorId="0" shapeId="0">
      <text>
        <t/>
      </text>
    </comment>
    <comment ref="BW2" authorId="0" shapeId="0">
      <text>
        <t/>
      </text>
    </comment>
    <comment ref="BX2" authorId="0" shapeId="0">
      <text>
        <t/>
      </text>
    </comment>
    <comment ref="BY2" authorId="0" shapeId="0">
      <text>
        <t/>
      </text>
    </comment>
    <comment ref="BZ2" authorId="0" shapeId="0">
      <text>
        <t/>
      </text>
    </comment>
    <comment ref="CA2" authorId="0" shapeId="0">
      <text>
        <t/>
      </text>
    </comment>
  </commentList>
</comments>
</file>

<file path=xl/comments/comment7.xml><?xml version="1.0" encoding="utf-8"?>
<comments xmlns="http://schemas.openxmlformats.org/spreadsheetml/2006/main">
  <authors>
    <author>dinht</author>
  </authors>
  <commentList>
    <comment ref="A1" authorId="0" shapeId="0">
      <text>
        <t/>
      </text>
    </comment>
    <comment ref="G2" authorId="0" shapeId="0">
      <text>
        <t/>
      </text>
    </comment>
    <comment ref="H2" authorId="0" shapeId="0">
      <text>
        <t/>
      </text>
    </comment>
    <comment ref="I2" authorId="0" shapeId="0">
      <text>
        <t/>
      </text>
    </comment>
    <comment ref="J2" authorId="0" shapeId="0">
      <text>
        <t/>
      </text>
    </comment>
    <comment ref="K2" authorId="0" shapeId="0">
      <text>
        <t/>
      </text>
    </comment>
    <comment ref="L2" authorId="0" shapeId="0">
      <text>
        <t/>
      </text>
    </comment>
    <comment ref="M2" authorId="0" shapeId="0">
      <text>
        <t/>
      </text>
    </comment>
    <comment ref="N2" authorId="0" shapeId="0">
      <text>
        <t/>
      </text>
    </comment>
    <comment ref="O2" authorId="0" shapeId="0">
      <text>
        <t/>
      </text>
    </comment>
    <comment ref="P2" authorId="0" shapeId="0">
      <text>
        <t/>
      </text>
    </comment>
    <comment ref="Q2" authorId="0" shapeId="0">
      <text>
        <t/>
      </text>
    </comment>
    <comment ref="R2" authorId="0" shapeId="0">
      <text>
        <t/>
      </text>
    </comment>
    <comment ref="S2" authorId="0" shapeId="0">
      <text>
        <t/>
      </text>
    </comment>
    <comment ref="T2" authorId="0" shapeId="0">
      <text>
        <t/>
      </text>
    </comment>
    <comment ref="U2" authorId="0" shapeId="0">
      <text>
        <t/>
      </text>
    </comment>
    <comment ref="AZ2" authorId="0" shapeId="0">
      <text>
        <t/>
      </text>
    </comment>
    <comment ref="BA2" authorId="0" shapeId="0">
      <text>
        <t/>
      </text>
    </comment>
    <comment ref="BB2" authorId="0" shapeId="0">
      <text>
        <t/>
      </text>
    </comment>
    <comment ref="BC2" authorId="0" shapeId="0">
      <text>
        <t/>
      </text>
    </comment>
    <comment ref="BD2" authorId="0" shapeId="0">
      <text>
        <t/>
      </text>
    </comment>
    <comment ref="BE2" authorId="0" shapeId="0">
      <text>
        <t/>
      </text>
    </comment>
    <comment ref="BF2" authorId="0" shapeId="0">
      <text>
        <t/>
      </text>
    </comment>
    <comment ref="BG2" authorId="0" shapeId="0">
      <text>
        <t/>
      </text>
    </comment>
    <comment ref="BH2" authorId="0" shapeId="0">
      <text>
        <t/>
      </text>
    </comment>
    <comment ref="BK2" authorId="0" shapeId="0">
      <text>
        <t/>
      </text>
    </comment>
    <comment ref="BL2" authorId="0" shapeId="0">
      <text>
        <t/>
      </text>
    </comment>
    <comment ref="BM2" authorId="0" shapeId="0">
      <text>
        <t/>
      </text>
    </comment>
    <comment ref="BN2" authorId="0" shapeId="0">
      <text>
        <t/>
      </text>
    </comment>
    <comment ref="BO2" authorId="0" shapeId="0">
      <text>
        <t/>
      </text>
    </comment>
    <comment ref="BP2" authorId="0" shapeId="0">
      <text>
        <t/>
      </text>
    </comment>
    <comment ref="BQ2" authorId="0" shapeId="0">
      <text>
        <t/>
      </text>
    </comment>
    <comment ref="BR2" authorId="0" shapeId="0">
      <text>
        <t/>
      </text>
    </comment>
    <comment ref="BS2" authorId="0" shapeId="0">
      <text>
        <t/>
      </text>
    </comment>
    <comment ref="BT2" authorId="0" shapeId="0">
      <text>
        <t/>
      </text>
    </comment>
    <comment ref="BU2" authorId="0" shapeId="0">
      <text>
        <t/>
      </text>
    </comment>
    <comment ref="BV2" authorId="0" shapeId="0">
      <text>
        <t/>
      </text>
    </comment>
    <comment ref="BW2" authorId="0" shapeId="0">
      <text>
        <t/>
      </text>
    </comment>
    <comment ref="BX2" authorId="0" shapeId="0">
      <text>
        <t/>
      </text>
    </comment>
    <comment ref="BY2" authorId="0" shapeId="0">
      <text>
        <t/>
      </text>
    </comment>
    <comment ref="BZ2" authorId="0" shapeId="0">
      <text>
        <t/>
      </text>
    </comment>
  </commentList>
</comments>
</file>

<file path=xl/comments/comment8.xml><?xml version="1.0" encoding="utf-8"?>
<comments xmlns="http://schemas.openxmlformats.org/spreadsheetml/2006/main">
  <authors>
    <author>dinht</author>
  </authors>
  <commentList>
    <comment ref="A1" authorId="0" shapeId="0">
      <text>
        <t/>
      </text>
    </comment>
    <comment ref="H2" authorId="0" shapeId="0">
      <text>
        <t/>
      </text>
    </comment>
    <comment ref="I2" authorId="0" shapeId="0">
      <text>
        <t/>
      </text>
    </comment>
    <comment ref="J2" authorId="0" shapeId="0">
      <text>
        <t/>
      </text>
    </comment>
    <comment ref="K2" authorId="0" shapeId="0">
      <text>
        <t/>
      </text>
    </comment>
    <comment ref="L2" authorId="0" shapeId="0">
      <text>
        <t/>
      </text>
    </comment>
    <comment ref="M2" authorId="0" shapeId="0">
      <text>
        <t/>
      </text>
    </comment>
    <comment ref="N2" authorId="0" shapeId="0">
      <text>
        <t/>
      </text>
    </comment>
    <comment ref="O2" authorId="0" shapeId="0">
      <text>
        <t/>
      </text>
    </comment>
    <comment ref="P2" authorId="0" shapeId="0">
      <text>
        <t/>
      </text>
    </comment>
    <comment ref="Q2" authorId="0" shapeId="0">
      <text>
        <t/>
      </text>
    </comment>
    <comment ref="R2" authorId="0" shapeId="0">
      <text>
        <t/>
      </text>
    </comment>
    <comment ref="S2" authorId="0" shapeId="0">
      <text>
        <t/>
      </text>
    </comment>
    <comment ref="T2" authorId="0" shapeId="0">
      <text>
        <t/>
      </text>
    </comment>
    <comment ref="U2" authorId="0" shapeId="0">
      <text>
        <t/>
      </text>
    </comment>
    <comment ref="V2" authorId="0" shapeId="0">
      <text>
        <t/>
      </text>
    </comment>
    <comment ref="AL2" authorId="0" shapeId="0">
      <text>
        <t/>
      </text>
    </comment>
    <comment ref="AM2" authorId="0" shapeId="0">
      <text>
        <t/>
      </text>
    </comment>
    <comment ref="AN2" authorId="0" shapeId="0">
      <text>
        <t/>
      </text>
    </comment>
    <comment ref="AO2" authorId="0" shapeId="0">
      <text>
        <t/>
      </text>
    </comment>
    <comment ref="AP2" authorId="0" shapeId="0">
      <text>
        <t/>
      </text>
    </comment>
    <comment ref="AQ2" authorId="0" shapeId="0">
      <text>
        <t/>
      </text>
    </comment>
    <comment ref="AR2" authorId="0" shapeId="0">
      <text>
        <t/>
      </text>
    </comment>
    <comment ref="AS2" authorId="0" shapeId="0">
      <text>
        <t/>
      </text>
    </comment>
    <comment ref="AT2" authorId="0" shapeId="0">
      <text>
        <t/>
      </text>
    </comment>
    <comment ref="AW2" authorId="0" shapeId="0">
      <text>
        <t/>
      </text>
    </comment>
    <comment ref="AX2" authorId="0" shapeId="0">
      <text>
        <t/>
      </text>
    </comment>
    <comment ref="AY2" authorId="0" shapeId="0">
      <text>
        <t/>
      </text>
    </comment>
    <comment ref="AZ2" authorId="0" shapeId="0">
      <text>
        <t/>
      </text>
    </comment>
    <comment ref="BA2" authorId="0" shapeId="0">
      <text>
        <t/>
      </text>
    </comment>
    <comment ref="BB2" authorId="0" shapeId="0">
      <text>
        <t/>
      </text>
    </comment>
    <comment ref="BC2" authorId="0" shapeId="0">
      <text>
        <t/>
      </text>
    </comment>
    <comment ref="BD2" authorId="0" shapeId="0">
      <text>
        <t/>
      </text>
    </comment>
    <comment ref="BE2" authorId="0" shapeId="0">
      <text>
        <t/>
      </text>
    </comment>
    <comment ref="BF2" authorId="0" shapeId="0">
      <text>
        <t/>
      </text>
    </comment>
    <comment ref="BG2" authorId="0" shapeId="0">
      <text>
        <t/>
      </text>
    </comment>
    <comment ref="BH2" authorId="0" shapeId="0">
      <text>
        <t/>
      </text>
    </comment>
    <comment ref="BI2" authorId="0" shapeId="0">
      <text>
        <t/>
      </text>
    </comment>
    <comment ref="BJ2" authorId="0" shapeId="0">
      <text>
        <t/>
      </text>
    </comment>
  </commentList>
</comments>
</file>

<file path=xl/comments/comment9.xml><?xml version="1.0" encoding="utf-8"?>
<comments xmlns="http://schemas.openxmlformats.org/spreadsheetml/2006/main">
  <authors>
    <author>dinht</author>
  </authors>
  <commentList>
    <comment ref="A1" authorId="0" shapeId="0">
      <text>
        <t/>
      </text>
    </comment>
    <comment ref="H2" authorId="0" shapeId="0">
      <text>
        <t/>
      </text>
    </comment>
    <comment ref="I2" authorId="0" shapeId="0">
      <text>
        <t/>
      </text>
    </comment>
    <comment ref="J2" authorId="0" shapeId="0">
      <text>
        <t/>
      </text>
    </comment>
    <comment ref="K2" authorId="0" shapeId="0">
      <text>
        <t/>
      </text>
    </comment>
    <comment ref="L2" authorId="0" shapeId="0">
      <text>
        <t/>
      </text>
    </comment>
    <comment ref="M2" authorId="0" shapeId="0">
      <text>
        <t/>
      </text>
    </comment>
    <comment ref="N2" authorId="0" shapeId="0">
      <text>
        <t/>
      </text>
    </comment>
    <comment ref="O2" authorId="0" shapeId="0">
      <text>
        <t/>
      </text>
    </comment>
    <comment ref="P2" authorId="0" shapeId="0">
      <text>
        <t/>
      </text>
    </comment>
    <comment ref="Q2" authorId="0" shapeId="0">
      <text>
        <t/>
      </text>
    </comment>
    <comment ref="R2" authorId="0" shapeId="0">
      <text>
        <t/>
      </text>
    </comment>
    <comment ref="S2" authorId="0" shapeId="0">
      <text>
        <t/>
      </text>
    </comment>
    <comment ref="T2" authorId="0" shapeId="0">
      <text>
        <t/>
      </text>
    </comment>
    <comment ref="U2" authorId="0" shapeId="0">
      <text>
        <t/>
      </text>
    </comment>
    <comment ref="V2" authorId="0" shapeId="0">
      <text>
        <t/>
      </text>
    </comment>
    <comment ref="AL2" authorId="0" shapeId="0">
      <text>
        <t/>
      </text>
    </comment>
    <comment ref="AM2" authorId="0" shapeId="0">
      <text>
        <t/>
      </text>
    </comment>
    <comment ref="AN2" authorId="0" shapeId="0">
      <text>
        <t/>
      </text>
    </comment>
    <comment ref="AO2" authorId="0" shapeId="0">
      <text>
        <t/>
      </text>
    </comment>
    <comment ref="AP2" authorId="0" shapeId="0">
      <text>
        <t/>
      </text>
    </comment>
    <comment ref="AQ2" authorId="0" shapeId="0">
      <text>
        <t/>
      </text>
    </comment>
    <comment ref="AR2" authorId="0" shapeId="0">
      <text>
        <t/>
      </text>
    </comment>
    <comment ref="AS2" authorId="0" shapeId="0">
      <text>
        <t/>
      </text>
    </comment>
    <comment ref="AT2" authorId="0" shapeId="0">
      <text>
        <t/>
      </text>
    </comment>
    <comment ref="AW2" authorId="0" shapeId="0">
      <text>
        <t/>
      </text>
    </comment>
    <comment ref="AX2" authorId="0" shapeId="0">
      <text>
        <t/>
      </text>
    </comment>
    <comment ref="AY2" authorId="0" shapeId="0">
      <text>
        <t/>
      </text>
    </comment>
    <comment ref="AZ2" authorId="0" shapeId="0">
      <text>
        <t/>
      </text>
    </comment>
    <comment ref="BA2" authorId="0" shapeId="0">
      <text>
        <t/>
      </text>
    </comment>
    <comment ref="BB2" authorId="0" shapeId="0">
      <text>
        <t/>
      </text>
    </comment>
    <comment ref="BC2" authorId="0" shapeId="0">
      <text>
        <t/>
      </text>
    </comment>
    <comment ref="BD2" authorId="0" shapeId="0">
      <text>
        <t/>
      </text>
    </comment>
    <comment ref="BE2" authorId="0" shapeId="0">
      <text>
        <t/>
      </text>
    </comment>
    <comment ref="BF2" authorId="0" shapeId="0">
      <text>
        <t/>
      </text>
    </comment>
    <comment ref="BG2" authorId="0" shapeId="0">
      <text>
        <t/>
      </text>
    </comment>
    <comment ref="BH2" authorId="0" shapeId="0">
      <text>
        <t/>
      </text>
    </comment>
    <comment ref="BI2" authorId="0" shapeId="0">
      <text>
        <t/>
      </text>
    </comment>
    <comment ref="BJ2" authorId="0" shapeId="0">
      <text>
        <t/>
      </text>
    </comment>
  </commentList>
</comments>
</file>

<file path=xl/comments/comment10.xml><?xml version="1.0" encoding="utf-8"?>
<comments xmlns="http://schemas.openxmlformats.org/spreadsheetml/2006/main">
  <authors>
    <author>dinht</author>
  </authors>
  <commentList>
    <comment ref="A1" authorId="0" shapeId="0">
      <text>
        <t/>
      </text>
    </comment>
    <comment ref="G2" authorId="0" shapeId="0">
      <text>
        <t/>
      </text>
    </comment>
    <comment ref="H2" authorId="0" shapeId="0">
      <text>
        <t/>
      </text>
    </comment>
    <comment ref="I2" authorId="0" shapeId="0">
      <text>
        <t/>
      </text>
    </comment>
    <comment ref="J2" authorId="0" shapeId="0">
      <text>
        <t/>
      </text>
    </comment>
    <comment ref="K2" authorId="0" shapeId="0">
      <text>
        <t/>
      </text>
    </comment>
    <comment ref="L2" authorId="0" shapeId="0">
      <text>
        <t/>
      </text>
    </comment>
    <comment ref="M2" authorId="0" shapeId="0">
      <text>
        <t/>
      </text>
    </comment>
    <comment ref="N2" authorId="0" shapeId="0">
      <text>
        <t/>
      </text>
    </comment>
    <comment ref="O2" authorId="0" shapeId="0">
      <text>
        <t/>
      </text>
    </comment>
    <comment ref="P2" authorId="0" shapeId="0">
      <text>
        <t/>
      </text>
    </comment>
    <comment ref="Q2" authorId="0" shapeId="0">
      <text>
        <t/>
      </text>
    </comment>
    <comment ref="R2" authorId="0" shapeId="0">
      <text>
        <t/>
      </text>
    </comment>
    <comment ref="S2" authorId="0" shapeId="0">
      <text>
        <t/>
      </text>
    </comment>
    <comment ref="T2" authorId="0" shapeId="0">
      <text>
        <t/>
      </text>
    </comment>
    <comment ref="U2" authorId="0" shapeId="0">
      <text>
        <t/>
      </text>
    </comment>
    <comment ref="AK2" authorId="0" shapeId="0">
      <text>
        <t/>
      </text>
    </comment>
    <comment ref="AL2" authorId="0" shapeId="0">
      <text>
        <t/>
      </text>
    </comment>
    <comment ref="AM2" authorId="0" shapeId="0">
      <text>
        <t/>
      </text>
    </comment>
    <comment ref="AN2" authorId="0" shapeId="0">
      <text>
        <t/>
      </text>
    </comment>
    <comment ref="AO2" authorId="0" shapeId="0">
      <text>
        <t/>
      </text>
    </comment>
    <comment ref="AP2" authorId="0" shapeId="0">
      <text>
        <t/>
      </text>
    </comment>
    <comment ref="AQ2" authorId="0" shapeId="0">
      <text>
        <t/>
      </text>
    </comment>
    <comment ref="AR2" authorId="0" shapeId="0">
      <text>
        <t/>
      </text>
    </comment>
    <comment ref="AS2" authorId="0" shapeId="0">
      <text>
        <t/>
      </text>
    </comment>
    <comment ref="AV2" authorId="0" shapeId="0">
      <text>
        <t/>
      </text>
    </comment>
    <comment ref="AW2" authorId="0" shapeId="0">
      <text>
        <t/>
      </text>
    </comment>
    <comment ref="AX2" authorId="0" shapeId="0">
      <text>
        <t/>
      </text>
    </comment>
    <comment ref="AY2" authorId="0" shapeId="0">
      <text>
        <t/>
      </text>
    </comment>
    <comment ref="AZ2" authorId="0" shapeId="0">
      <text>
        <t/>
      </text>
    </comment>
    <comment ref="BA2" authorId="0" shapeId="0">
      <text>
        <t/>
      </text>
    </comment>
    <comment ref="BB2" authorId="0" shapeId="0">
      <text>
        <t/>
      </text>
    </comment>
    <comment ref="BC2" authorId="0" shapeId="0">
      <text>
        <t/>
      </text>
    </comment>
    <comment ref="BD2" authorId="0" shapeId="0">
      <text>
        <t/>
      </text>
    </comment>
    <comment ref="BE2" authorId="0" shapeId="0">
      <text>
        <t/>
      </text>
    </comment>
    <comment ref="BF2" authorId="0" shapeId="0">
      <text>
        <t/>
      </text>
    </comment>
    <comment ref="BG2" authorId="0" shapeId="0">
      <text>
        <t/>
      </text>
    </comment>
    <comment ref="BH2" authorId="0" shapeId="0">
      <text>
        <t/>
      </text>
    </comment>
    <comment ref="BI2" authorId="0" shapeId="0">
      <text>
        <t/>
      </text>
    </comment>
    <comment ref="BJ2" authorId="0" shapeId="0">
      <text>
        <t/>
      </text>
    </comment>
  </commentList>
</comments>
</file>

<file path=xl/comments/comment11.xml><?xml version="1.0" encoding="utf-8"?>
<comments xmlns="http://schemas.openxmlformats.org/spreadsheetml/2006/main">
  <authors>
    <author>dinht</author>
  </authors>
  <commentList>
    <comment ref="A1" authorId="0" shapeId="0">
      <text>
        <t/>
      </text>
    </comment>
    <comment ref="G2" authorId="0" shapeId="0">
      <text>
        <t/>
      </text>
    </comment>
    <comment ref="H2" authorId="0" shapeId="0">
      <text>
        <t/>
      </text>
    </comment>
    <comment ref="I2" authorId="0" shapeId="0">
      <text>
        <t/>
      </text>
    </comment>
    <comment ref="J2" authorId="0" shapeId="0">
      <text>
        <t/>
      </text>
    </comment>
    <comment ref="K2" authorId="0" shapeId="0">
      <text>
        <t/>
      </text>
    </comment>
    <comment ref="L2" authorId="0" shapeId="0">
      <text>
        <t/>
      </text>
    </comment>
    <comment ref="M2" authorId="0" shapeId="0">
      <text>
        <t/>
      </text>
    </comment>
    <comment ref="N2" authorId="0" shapeId="0">
      <text>
        <t/>
      </text>
    </comment>
    <comment ref="O2" authorId="0" shapeId="0">
      <text>
        <t/>
      </text>
    </comment>
    <comment ref="P2" authorId="0" shapeId="0">
      <text>
        <t/>
      </text>
    </comment>
    <comment ref="Q2" authorId="0" shapeId="0">
      <text>
        <t/>
      </text>
    </comment>
    <comment ref="R2" authorId="0" shapeId="0">
      <text>
        <t/>
      </text>
    </comment>
    <comment ref="S2" authorId="0" shapeId="0">
      <text>
        <t/>
      </text>
    </comment>
    <comment ref="T2" authorId="0" shapeId="0">
      <text>
        <t/>
      </text>
    </comment>
    <comment ref="U2" authorId="0" shapeId="0">
      <text>
        <t/>
      </text>
    </comment>
    <comment ref="AK2" authorId="0" shapeId="0">
      <text>
        <t/>
      </text>
    </comment>
    <comment ref="AL2" authorId="0" shapeId="0">
      <text>
        <t/>
      </text>
    </comment>
    <comment ref="AM2" authorId="0" shapeId="0">
      <text>
        <t/>
      </text>
    </comment>
    <comment ref="AN2" authorId="0" shapeId="0">
      <text>
        <t/>
      </text>
    </comment>
    <comment ref="AO2" authorId="0" shapeId="0">
      <text>
        <t/>
      </text>
    </comment>
    <comment ref="AP2" authorId="0" shapeId="0">
      <text>
        <t/>
      </text>
    </comment>
    <comment ref="AQ2" authorId="0" shapeId="0">
      <text>
        <t/>
      </text>
    </comment>
    <comment ref="AR2" authorId="0" shapeId="0">
      <text>
        <t/>
      </text>
    </comment>
    <comment ref="AS2" authorId="0" shapeId="0">
      <text>
        <t/>
      </text>
    </comment>
    <comment ref="AV2" authorId="0" shapeId="0">
      <text>
        <t/>
      </text>
    </comment>
    <comment ref="AW2" authorId="0" shapeId="0">
      <text>
        <t/>
      </text>
    </comment>
    <comment ref="AX2" authorId="0" shapeId="0">
      <text>
        <t/>
      </text>
    </comment>
    <comment ref="AY2" authorId="0" shapeId="0">
      <text>
        <t/>
      </text>
    </comment>
    <comment ref="AZ2" authorId="0" shapeId="0">
      <text>
        <t/>
      </text>
    </comment>
    <comment ref="BA2" authorId="0" shapeId="0">
      <text>
        <t/>
      </text>
    </comment>
    <comment ref="BB2" authorId="0" shapeId="0">
      <text>
        <t/>
      </text>
    </comment>
    <comment ref="BC2" authorId="0" shapeId="0">
      <text>
        <t/>
      </text>
    </comment>
    <comment ref="BD2" authorId="0" shapeId="0">
      <text>
        <t/>
      </text>
    </comment>
    <comment ref="BE2" authorId="0" shapeId="0">
      <text>
        <t/>
      </text>
    </comment>
    <comment ref="BF2" authorId="0" shapeId="0">
      <text>
        <t/>
      </text>
    </comment>
    <comment ref="BG2" authorId="0" shapeId="0">
      <text>
        <t/>
      </text>
    </comment>
    <comment ref="BH2" authorId="0" shapeId="0">
      <text>
        <t/>
      </text>
    </comment>
    <comment ref="BI2" authorId="0" shapeId="0">
      <text>
        <t/>
      </text>
    </comment>
    <comment ref="BJ2" authorId="0" shapeId="0">
      <text>
        <t/>
      </text>
    </comment>
  </commentList>
</comments>
</file>

<file path=xl/comments/comment12.xml><?xml version="1.0" encoding="utf-8"?>
<comments xmlns="http://schemas.openxmlformats.org/spreadsheetml/2006/main">
  <authors>
    <author>dinht</author>
  </authors>
  <commentList>
    <comment ref="A1" authorId="0" shapeId="0">
      <text>
        <t/>
      </text>
    </comment>
    <comment ref="G2" authorId="0" shapeId="0">
      <text>
        <t/>
      </text>
    </comment>
    <comment ref="H2" authorId="0" shapeId="0">
      <text>
        <t/>
      </text>
    </comment>
    <comment ref="I2" authorId="0" shapeId="0">
      <text>
        <t/>
      </text>
    </comment>
    <comment ref="J2" authorId="0" shapeId="0">
      <text>
        <t/>
      </text>
    </comment>
    <comment ref="K2" authorId="0" shapeId="0">
      <text>
        <t/>
      </text>
    </comment>
    <comment ref="L2" authorId="0" shapeId="0">
      <text>
        <t/>
      </text>
    </comment>
    <comment ref="M2" authorId="0" shapeId="0">
      <text>
        <t/>
      </text>
    </comment>
    <comment ref="N2" authorId="0" shapeId="0">
      <text>
        <t/>
      </text>
    </comment>
    <comment ref="O2" authorId="0" shapeId="0">
      <text>
        <t/>
      </text>
    </comment>
    <comment ref="P2" authorId="0" shapeId="0">
      <text>
        <t/>
      </text>
    </comment>
    <comment ref="Q2" authorId="0" shapeId="0">
      <text>
        <t/>
      </text>
    </comment>
    <comment ref="R2" authorId="0" shapeId="0">
      <text>
        <t/>
      </text>
    </comment>
    <comment ref="S2" authorId="0" shapeId="0">
      <text>
        <t/>
      </text>
    </comment>
    <comment ref="T2" authorId="0" shapeId="0">
      <text>
        <t/>
      </text>
    </comment>
    <comment ref="U2" authorId="0" shapeId="0">
      <text>
        <t/>
      </text>
    </comment>
    <comment ref="AK2" authorId="0" shapeId="0">
      <text>
        <t/>
      </text>
    </comment>
    <comment ref="AL2" authorId="0" shapeId="0">
      <text>
        <t/>
      </text>
    </comment>
    <comment ref="AM2" authorId="0" shapeId="0">
      <text>
        <t/>
      </text>
    </comment>
    <comment ref="AN2" authorId="0" shapeId="0">
      <text>
        <t/>
      </text>
    </comment>
    <comment ref="AO2" authorId="0" shapeId="0">
      <text>
        <t/>
      </text>
    </comment>
    <comment ref="AP2" authorId="0" shapeId="0">
      <text>
        <t/>
      </text>
    </comment>
    <comment ref="AQ2" authorId="0" shapeId="0">
      <text>
        <t/>
      </text>
    </comment>
    <comment ref="AR2" authorId="0" shapeId="0">
      <text>
        <t/>
      </text>
    </comment>
    <comment ref="AS2" authorId="0" shapeId="0">
      <text>
        <t/>
      </text>
    </comment>
    <comment ref="AV2" authorId="0" shapeId="0">
      <text>
        <t/>
      </text>
    </comment>
    <comment ref="AW2" authorId="0" shapeId="0">
      <text>
        <t/>
      </text>
    </comment>
    <comment ref="AX2" authorId="0" shapeId="0">
      <text>
        <t/>
      </text>
    </comment>
    <comment ref="AY2" authorId="0" shapeId="0">
      <text>
        <t/>
      </text>
    </comment>
    <comment ref="AZ2" authorId="0" shapeId="0">
      <text>
        <t/>
      </text>
    </comment>
    <comment ref="BA2" authorId="0" shapeId="0">
      <text>
        <t/>
      </text>
    </comment>
    <comment ref="BB2" authorId="0" shapeId="0">
      <text>
        <t/>
      </text>
    </comment>
    <comment ref="BC2" authorId="0" shapeId="0">
      <text>
        <t/>
      </text>
    </comment>
    <comment ref="BD2" authorId="0" shapeId="0">
      <text>
        <t/>
      </text>
    </comment>
    <comment ref="BE2" authorId="0" shapeId="0">
      <text>
        <t/>
      </text>
    </comment>
    <comment ref="BF2" authorId="0" shapeId="0">
      <text>
        <t/>
      </text>
    </comment>
    <comment ref="BG2" authorId="0" shapeId="0">
      <text>
        <t/>
      </text>
    </comment>
    <comment ref="BH2" authorId="0" shapeId="0">
      <text>
        <t/>
      </text>
    </comment>
    <comment ref="BI2" authorId="0" shapeId="0">
      <text>
        <t/>
      </text>
    </comment>
    <comment ref="BJ2" authorId="0" shapeId="0">
      <text>
        <t/>
      </text>
    </comment>
  </commentList>
</comments>
</file>

<file path=xl/comments/comment13.xml><?xml version="1.0" encoding="utf-8"?>
<comments xmlns="http://schemas.openxmlformats.org/spreadsheetml/2006/main">
  <authors>
    <author>dinht</author>
  </authors>
  <commentList>
    <comment ref="A1" authorId="0" shapeId="0">
      <text>
        <t/>
      </text>
    </comment>
    <comment ref="G2" authorId="0" shapeId="0">
      <text>
        <t/>
      </text>
    </comment>
    <comment ref="H2" authorId="0" shapeId="0">
      <text>
        <t/>
      </text>
    </comment>
    <comment ref="I2" authorId="0" shapeId="0">
      <text>
        <t/>
      </text>
    </comment>
    <comment ref="J2" authorId="0" shapeId="0">
      <text>
        <t/>
      </text>
    </comment>
    <comment ref="K2" authorId="0" shapeId="0">
      <text>
        <t/>
      </text>
    </comment>
    <comment ref="L2" authorId="0" shapeId="0">
      <text>
        <t/>
      </text>
    </comment>
    <comment ref="M2" authorId="0" shapeId="0">
      <text>
        <t/>
      </text>
    </comment>
    <comment ref="N2" authorId="0" shapeId="0">
      <text>
        <t/>
      </text>
    </comment>
    <comment ref="O2" authorId="0" shapeId="0">
      <text>
        <t/>
      </text>
    </comment>
    <comment ref="P2" authorId="0" shapeId="0">
      <text>
        <t/>
      </text>
    </comment>
    <comment ref="Q2" authorId="0" shapeId="0">
      <text>
        <t/>
      </text>
    </comment>
    <comment ref="R2" authorId="0" shapeId="0">
      <text>
        <t/>
      </text>
    </comment>
    <comment ref="S2" authorId="0" shapeId="0">
      <text>
        <t/>
      </text>
    </comment>
    <comment ref="T2" authorId="0" shapeId="0">
      <text>
        <t/>
      </text>
    </comment>
    <comment ref="U2" authorId="0" shapeId="0">
      <text>
        <t/>
      </text>
    </comment>
    <comment ref="AK2" authorId="0" shapeId="0">
      <text>
        <t/>
      </text>
    </comment>
    <comment ref="AL2" authorId="0" shapeId="0">
      <text>
        <t/>
      </text>
    </comment>
    <comment ref="AM2" authorId="0" shapeId="0">
      <text>
        <t/>
      </text>
    </comment>
    <comment ref="AN2" authorId="0" shapeId="0">
      <text>
        <t/>
      </text>
    </comment>
    <comment ref="AO2" authorId="0" shapeId="0">
      <text>
        <t/>
      </text>
    </comment>
    <comment ref="AP2" authorId="0" shapeId="0">
      <text>
        <t/>
      </text>
    </comment>
    <comment ref="AQ2" authorId="0" shapeId="0">
      <text>
        <t/>
      </text>
    </comment>
    <comment ref="AR2" authorId="0" shapeId="0">
      <text>
        <t/>
      </text>
    </comment>
    <comment ref="AS2" authorId="0" shapeId="0">
      <text>
        <t/>
      </text>
    </comment>
    <comment ref="AV2" authorId="0" shapeId="0">
      <text>
        <t/>
      </text>
    </comment>
    <comment ref="AW2" authorId="0" shapeId="0">
      <text>
        <t/>
      </text>
    </comment>
    <comment ref="AX2" authorId="0" shapeId="0">
      <text>
        <t/>
      </text>
    </comment>
    <comment ref="AY2" authorId="0" shapeId="0">
      <text>
        <t/>
      </text>
    </comment>
    <comment ref="AZ2" authorId="0" shapeId="0">
      <text>
        <t/>
      </text>
    </comment>
    <comment ref="BA2" authorId="0" shapeId="0">
      <text>
        <t/>
      </text>
    </comment>
    <comment ref="BB2" authorId="0" shapeId="0">
      <text>
        <t/>
      </text>
    </comment>
    <comment ref="BC2" authorId="0" shapeId="0">
      <text>
        <t/>
      </text>
    </comment>
    <comment ref="BD2" authorId="0" shapeId="0">
      <text>
        <t/>
      </text>
    </comment>
    <comment ref="BE2" authorId="0" shapeId="0">
      <text>
        <t/>
      </text>
    </comment>
    <comment ref="BF2" authorId="0" shapeId="0">
      <text>
        <t/>
      </text>
    </comment>
    <comment ref="BG2" authorId="0" shapeId="0">
      <text>
        <t/>
      </text>
    </comment>
    <comment ref="BH2" authorId="0" shapeId="0">
      <text>
        <t/>
      </text>
    </comment>
    <comment ref="BI2" authorId="0" shapeId="0">
      <text>
        <t/>
      </text>
    </comment>
    <comment ref="BJ2" authorId="0" shapeId="0">
      <text>
        <t/>
      </text>
    </comment>
  </commentList>
</comments>
</file>

<file path=xl/comments/comment14.xml><?xml version="1.0" encoding="utf-8"?>
<comments xmlns="http://schemas.openxmlformats.org/spreadsheetml/2006/main">
  <authors>
    <author>dinht</author>
  </authors>
  <commentList>
    <comment ref="A1" authorId="0" shapeId="0">
      <text>
        <t/>
      </text>
    </comment>
    <comment ref="G2" authorId="0" shapeId="0">
      <text>
        <t/>
      </text>
    </comment>
    <comment ref="H2" authorId="0" shapeId="0">
      <text>
        <t/>
      </text>
    </comment>
    <comment ref="I2" authorId="0" shapeId="0">
      <text>
        <t/>
      </text>
    </comment>
    <comment ref="J2" authorId="0" shapeId="0">
      <text>
        <t/>
      </text>
    </comment>
    <comment ref="K2" authorId="0" shapeId="0">
      <text>
        <t/>
      </text>
    </comment>
    <comment ref="L2" authorId="0" shapeId="0">
      <text>
        <t/>
      </text>
    </comment>
    <comment ref="M2" authorId="0" shapeId="0">
      <text>
        <t/>
      </text>
    </comment>
    <comment ref="N2" authorId="0" shapeId="0">
      <text>
        <t/>
      </text>
    </comment>
    <comment ref="O2" authorId="0" shapeId="0">
      <text>
        <t/>
      </text>
    </comment>
    <comment ref="P2" authorId="0" shapeId="0">
      <text>
        <t/>
      </text>
    </comment>
    <comment ref="Q2" authorId="0" shapeId="0">
      <text>
        <t/>
      </text>
    </comment>
    <comment ref="R2" authorId="0" shapeId="0">
      <text>
        <t/>
      </text>
    </comment>
    <comment ref="S2" authorId="0" shapeId="0">
      <text>
        <t/>
      </text>
    </comment>
    <comment ref="T2" authorId="0" shapeId="0">
      <text>
        <t/>
      </text>
    </comment>
    <comment ref="U2" authorId="0" shapeId="0">
      <text>
        <t/>
      </text>
    </comment>
    <comment ref="AK2" authorId="0" shapeId="0">
      <text>
        <t/>
      </text>
    </comment>
    <comment ref="AL2" authorId="0" shapeId="0">
      <text>
        <t/>
      </text>
    </comment>
    <comment ref="AM2" authorId="0" shapeId="0">
      <text>
        <t/>
      </text>
    </comment>
    <comment ref="AN2" authorId="0" shapeId="0">
      <text>
        <t/>
      </text>
    </comment>
    <comment ref="AO2" authorId="0" shapeId="0">
      <text>
        <t/>
      </text>
    </comment>
    <comment ref="AP2" authorId="0" shapeId="0">
      <text>
        <t/>
      </text>
    </comment>
    <comment ref="AQ2" authorId="0" shapeId="0">
      <text>
        <t/>
      </text>
    </comment>
    <comment ref="AR2" authorId="0" shapeId="0">
      <text>
        <t/>
      </text>
    </comment>
    <comment ref="AS2" authorId="0" shapeId="0">
      <text>
        <t/>
      </text>
    </comment>
    <comment ref="AV2" authorId="0" shapeId="0">
      <text>
        <t/>
      </text>
    </comment>
    <comment ref="AW2" authorId="0" shapeId="0">
      <text>
        <t/>
      </text>
    </comment>
    <comment ref="AX2" authorId="0" shapeId="0">
      <text>
        <t/>
      </text>
    </comment>
    <comment ref="AY2" authorId="0" shapeId="0">
      <text>
        <t/>
      </text>
    </comment>
    <comment ref="AZ2" authorId="0" shapeId="0">
      <text>
        <t/>
      </text>
    </comment>
    <comment ref="BA2" authorId="0" shapeId="0">
      <text>
        <t/>
      </text>
    </comment>
    <comment ref="BB2" authorId="0" shapeId="0">
      <text>
        <t/>
      </text>
    </comment>
    <comment ref="BC2" authorId="0" shapeId="0">
      <text>
        <t/>
      </text>
    </comment>
    <comment ref="BD2" authorId="0" shapeId="0">
      <text>
        <t/>
      </text>
    </comment>
    <comment ref="BE2" authorId="0" shapeId="0">
      <text>
        <t/>
      </text>
    </comment>
    <comment ref="BF2" authorId="0" shapeId="0">
      <text>
        <t/>
      </text>
    </comment>
    <comment ref="BG2" authorId="0" shapeId="0">
      <text>
        <t/>
      </text>
    </comment>
    <comment ref="BH2" authorId="0" shapeId="0">
      <text>
        <t/>
      </text>
    </comment>
    <comment ref="BI2" authorId="0" shapeId="0">
      <text>
        <t/>
      </text>
    </comment>
    <comment ref="BJ2" authorId="0" shapeId="0">
      <text>
        <t/>
      </text>
    </comment>
  </commentList>
</comments>
</file>

<file path=xl/comments/comment15.xml><?xml version="1.0" encoding="utf-8"?>
<comments xmlns="http://schemas.openxmlformats.org/spreadsheetml/2006/main">
  <authors>
    <author>dinht</author>
  </authors>
  <commentList>
    <comment ref="A1" authorId="0" shapeId="0">
      <text>
        <t/>
      </text>
    </comment>
    <comment ref="H2" authorId="0" shapeId="0">
      <text>
        <t/>
      </text>
    </comment>
    <comment ref="I2" authorId="0" shapeId="0">
      <text>
        <t/>
      </text>
    </comment>
    <comment ref="J2" authorId="0" shapeId="0">
      <text>
        <t/>
      </text>
    </comment>
    <comment ref="K2" authorId="0" shapeId="0">
      <text>
        <t/>
      </text>
    </comment>
    <comment ref="L2" authorId="0" shapeId="0">
      <text>
        <t/>
      </text>
    </comment>
    <comment ref="M2" authorId="0" shapeId="0">
      <text>
        <t/>
      </text>
    </comment>
    <comment ref="N2" authorId="0" shapeId="0">
      <text>
        <t/>
      </text>
    </comment>
    <comment ref="O2" authorId="0" shapeId="0">
      <text>
        <t/>
      </text>
    </comment>
    <comment ref="P2" authorId="0" shapeId="0">
      <text>
        <t/>
      </text>
    </comment>
    <comment ref="Q2" authorId="0" shapeId="0">
      <text>
        <t/>
      </text>
    </comment>
    <comment ref="R2" authorId="0" shapeId="0">
      <text>
        <t/>
      </text>
    </comment>
    <comment ref="S2" authorId="0" shapeId="0">
      <text>
        <t/>
      </text>
    </comment>
    <comment ref="T2" authorId="0" shapeId="0">
      <text>
        <t/>
      </text>
    </comment>
    <comment ref="U2" authorId="0" shapeId="0">
      <text>
        <t/>
      </text>
    </comment>
    <comment ref="V2" authorId="0" shapeId="0">
      <text>
        <t/>
      </text>
    </comment>
    <comment ref="AL2" authorId="0" shapeId="0">
      <text>
        <t/>
      </text>
    </comment>
    <comment ref="AM2" authorId="0" shapeId="0">
      <text>
        <t/>
      </text>
    </comment>
    <comment ref="AN2" authorId="0" shapeId="0">
      <text>
        <t/>
      </text>
    </comment>
    <comment ref="AO2" authorId="0" shapeId="0">
      <text>
        <t/>
      </text>
    </comment>
    <comment ref="AP2" authorId="0" shapeId="0">
      <text>
        <t/>
      </text>
    </comment>
    <comment ref="AQ2" authorId="0" shapeId="0">
      <text>
        <t/>
      </text>
    </comment>
    <comment ref="AR2" authorId="0" shapeId="0">
      <text>
        <t/>
      </text>
    </comment>
    <comment ref="AS2" authorId="0" shapeId="0">
      <text>
        <t/>
      </text>
    </comment>
    <comment ref="AT2" authorId="0" shapeId="0">
      <text>
        <t/>
      </text>
    </comment>
    <comment ref="AW2" authorId="0" shapeId="0">
      <text>
        <t/>
      </text>
    </comment>
    <comment ref="AX2" authorId="0" shapeId="0">
      <text>
        <t/>
      </text>
    </comment>
    <comment ref="AY2" authorId="0" shapeId="0">
      <text>
        <t/>
      </text>
    </comment>
    <comment ref="AZ2" authorId="0" shapeId="0">
      <text>
        <t/>
      </text>
    </comment>
    <comment ref="BA2" authorId="0" shapeId="0">
      <text>
        <t/>
      </text>
    </comment>
    <comment ref="BB2" authorId="0" shapeId="0">
      <text>
        <t/>
      </text>
    </comment>
    <comment ref="BC2" authorId="0" shapeId="0">
      <text>
        <t/>
      </text>
    </comment>
    <comment ref="BD2" authorId="0" shapeId="0">
      <text>
        <t/>
      </text>
    </comment>
    <comment ref="BE2" authorId="0" shapeId="0">
      <text>
        <t/>
      </text>
    </comment>
    <comment ref="BF2" authorId="0" shapeId="0">
      <text>
        <t/>
      </text>
    </comment>
    <comment ref="BG2" authorId="0" shapeId="0">
      <text>
        <t/>
      </text>
    </comment>
    <comment ref="BH2" authorId="0" shapeId="0">
      <text>
        <t/>
      </text>
    </comment>
  </commentList>
</comments>
</file>

<file path=xl/comments/comment16.xml><?xml version="1.0" encoding="utf-8"?>
<comments xmlns="http://schemas.openxmlformats.org/spreadsheetml/2006/main">
  <authors>
    <author>dinht</author>
  </authors>
  <commentList>
    <comment ref="A1" authorId="0" shapeId="0">
      <text>
        <t/>
      </text>
    </comment>
    <comment ref="H2" authorId="0" shapeId="0">
      <text>
        <t/>
      </text>
    </comment>
    <comment ref="I2" authorId="0" shapeId="0">
      <text>
        <t/>
      </text>
    </comment>
    <comment ref="J2" authorId="0" shapeId="0">
      <text>
        <t/>
      </text>
    </comment>
    <comment ref="K2" authorId="0" shapeId="0">
      <text>
        <t/>
      </text>
    </comment>
    <comment ref="L2" authorId="0" shapeId="0">
      <text>
        <t/>
      </text>
    </comment>
    <comment ref="M2" authorId="0" shapeId="0">
      <text>
        <t/>
      </text>
    </comment>
    <comment ref="N2" authorId="0" shapeId="0">
      <text>
        <t/>
      </text>
    </comment>
    <comment ref="O2" authorId="0" shapeId="0">
      <text>
        <t/>
      </text>
    </comment>
    <comment ref="P2" authorId="0" shapeId="0">
      <text>
        <t/>
      </text>
    </comment>
    <comment ref="Q2" authorId="0" shapeId="0">
      <text>
        <t/>
      </text>
    </comment>
    <comment ref="R2" authorId="0" shapeId="0">
      <text>
        <t/>
      </text>
    </comment>
    <comment ref="S2" authorId="0" shapeId="0">
      <text>
        <t/>
      </text>
    </comment>
    <comment ref="T2" authorId="0" shapeId="0">
      <text>
        <t/>
      </text>
    </comment>
    <comment ref="U2" authorId="0" shapeId="0">
      <text>
        <t/>
      </text>
    </comment>
    <comment ref="V2" authorId="0" shapeId="0">
      <text>
        <t/>
      </text>
    </comment>
    <comment ref="AL2" authorId="0" shapeId="0">
      <text>
        <t/>
      </text>
    </comment>
    <comment ref="AM2" authorId="0" shapeId="0">
      <text>
        <t/>
      </text>
    </comment>
    <comment ref="AN2" authorId="0" shapeId="0">
      <text>
        <t/>
      </text>
    </comment>
    <comment ref="AO2" authorId="0" shapeId="0">
      <text>
        <t/>
      </text>
    </comment>
    <comment ref="AP2" authorId="0" shapeId="0">
      <text>
        <t/>
      </text>
    </comment>
    <comment ref="AQ2" authorId="0" shapeId="0">
      <text>
        <t/>
      </text>
    </comment>
    <comment ref="AR2" authorId="0" shapeId="0">
      <text>
        <t/>
      </text>
    </comment>
    <comment ref="AS2" authorId="0" shapeId="0">
      <text>
        <t/>
      </text>
    </comment>
    <comment ref="AT2" authorId="0" shapeId="0">
      <text>
        <t/>
      </text>
    </comment>
    <comment ref="AW2" authorId="0" shapeId="0">
      <text>
        <t/>
      </text>
    </comment>
    <comment ref="AX2" authorId="0" shapeId="0">
      <text>
        <t/>
      </text>
    </comment>
    <comment ref="AY2" authorId="0" shapeId="0">
      <text>
        <t/>
      </text>
    </comment>
    <comment ref="AZ2" authorId="0" shapeId="0">
      <text>
        <t/>
      </text>
    </comment>
    <comment ref="BA2" authorId="0" shapeId="0">
      <text>
        <t/>
      </text>
    </comment>
    <comment ref="BB2" authorId="0" shapeId="0">
      <text>
        <t/>
      </text>
    </comment>
    <comment ref="BC2" authorId="0" shapeId="0">
      <text>
        <t/>
      </text>
    </comment>
    <comment ref="BD2" authorId="0" shapeId="0">
      <text>
        <t/>
      </text>
    </comment>
    <comment ref="BE2" authorId="0" shapeId="0">
      <text>
        <t/>
      </text>
    </comment>
    <comment ref="BF2" authorId="0" shapeId="0">
      <text>
        <t/>
      </text>
    </comment>
    <comment ref="BG2" authorId="0" shapeId="0">
      <text>
        <t/>
      </text>
    </comment>
    <comment ref="BH2" authorId="0" shapeId="0">
      <text>
        <t/>
      </text>
    </comment>
  </commentList>
</comments>
</file>

<file path=xl/comments/comment17.xml><?xml version="1.0" encoding="utf-8"?>
<comments xmlns="http://schemas.openxmlformats.org/spreadsheetml/2006/main">
  <authors>
    <author>dinht</author>
  </authors>
  <commentList>
    <comment ref="A1" authorId="0" shapeId="0">
      <text>
        <t/>
      </text>
    </comment>
    <comment ref="G2" authorId="0" shapeId="0">
      <text>
        <t/>
      </text>
    </comment>
    <comment ref="H2" authorId="0" shapeId="0">
      <text>
        <t/>
      </text>
    </comment>
    <comment ref="I2" authorId="0" shapeId="0">
      <text>
        <t/>
      </text>
    </comment>
    <comment ref="J2" authorId="0" shapeId="0">
      <text>
        <t/>
      </text>
    </comment>
    <comment ref="K2" authorId="0" shapeId="0">
      <text>
        <t/>
      </text>
    </comment>
    <comment ref="L2" authorId="0" shapeId="0">
      <text>
        <t/>
      </text>
    </comment>
    <comment ref="M2" authorId="0" shapeId="0">
      <text>
        <t/>
      </text>
    </comment>
    <comment ref="N2" authorId="0" shapeId="0">
      <text>
        <t/>
      </text>
    </comment>
    <comment ref="O2" authorId="0" shapeId="0">
      <text>
        <t/>
      </text>
    </comment>
    <comment ref="P2" authorId="0" shapeId="0">
      <text>
        <t/>
      </text>
    </comment>
    <comment ref="Q2" authorId="0" shapeId="0">
      <text>
        <t/>
      </text>
    </comment>
    <comment ref="R2" authorId="0" shapeId="0">
      <text>
        <t/>
      </text>
    </comment>
    <comment ref="S2" authorId="0" shapeId="0">
      <text>
        <t/>
      </text>
    </comment>
    <comment ref="T2" authorId="0" shapeId="0">
      <text>
        <t/>
      </text>
    </comment>
    <comment ref="U2" authorId="0" shapeId="0">
      <text>
        <t/>
      </text>
    </comment>
    <comment ref="AK2" authorId="0" shapeId="0">
      <text>
        <t/>
      </text>
    </comment>
    <comment ref="AL2" authorId="0" shapeId="0">
      <text>
        <t/>
      </text>
    </comment>
    <comment ref="AM2" authorId="0" shapeId="0">
      <text>
        <t/>
      </text>
    </comment>
    <comment ref="AN2" authorId="0" shapeId="0">
      <text>
        <t/>
      </text>
    </comment>
    <comment ref="AO2" authorId="0" shapeId="0">
      <text>
        <t/>
      </text>
    </comment>
    <comment ref="AP2" authorId="0" shapeId="0">
      <text>
        <t/>
      </text>
    </comment>
    <comment ref="AQ2" authorId="0" shapeId="0">
      <text>
        <t/>
      </text>
    </comment>
    <comment ref="AR2" authorId="0" shapeId="0">
      <text>
        <t/>
      </text>
    </comment>
    <comment ref="AS2" authorId="0" shapeId="0">
      <text>
        <t/>
      </text>
    </comment>
    <comment ref="AV2" authorId="0" shapeId="0">
      <text>
        <t/>
      </text>
    </comment>
    <comment ref="AW2" authorId="0" shapeId="0">
      <text>
        <t/>
      </text>
    </comment>
    <comment ref="AX2" authorId="0" shapeId="0">
      <text>
        <t/>
      </text>
    </comment>
    <comment ref="AY2" authorId="0" shapeId="0">
      <text>
        <t/>
      </text>
    </comment>
    <comment ref="AZ2" authorId="0" shapeId="0">
      <text>
        <t/>
      </text>
    </comment>
    <comment ref="BA2" authorId="0" shapeId="0">
      <text>
        <t/>
      </text>
    </comment>
    <comment ref="BB2" authorId="0" shapeId="0">
      <text>
        <t/>
      </text>
    </comment>
    <comment ref="BC2" authorId="0" shapeId="0">
      <text>
        <t/>
      </text>
    </comment>
    <comment ref="BD2" authorId="0" shapeId="0">
      <text>
        <t/>
      </text>
    </comment>
    <comment ref="BE2" authorId="0" shapeId="0">
      <text>
        <t/>
      </text>
    </comment>
    <comment ref="BF2" authorId="0" shapeId="0">
      <text>
        <t/>
      </text>
    </comment>
    <comment ref="BG2" authorId="0" shapeId="0">
      <text>
        <t/>
      </text>
    </comment>
    <comment ref="BH2" authorId="0" shapeId="0">
      <text>
        <t/>
      </text>
    </comment>
    <comment ref="BI2" authorId="0" shapeId="0">
      <text>
        <t/>
      </text>
    </comment>
    <comment ref="BJ2" authorId="0" shapeId="0">
      <text>
        <t/>
      </text>
    </comment>
  </commentList>
</comments>
</file>

<file path=xl/comments/comment18.xml><?xml version="1.0" encoding="utf-8"?>
<comments xmlns="http://schemas.openxmlformats.org/spreadsheetml/2006/main">
  <authors>
    <author>dinht</author>
  </authors>
  <commentList>
    <comment ref="A1" authorId="0" shapeId="0">
      <text>
        <t/>
      </text>
    </comment>
    <comment ref="G2" authorId="0" shapeId="0">
      <text>
        <t/>
      </text>
    </comment>
    <comment ref="H2" authorId="0" shapeId="0">
      <text>
        <t/>
      </text>
    </comment>
    <comment ref="I2" authorId="0" shapeId="0">
      <text>
        <t/>
      </text>
    </comment>
    <comment ref="J2" authorId="0" shapeId="0">
      <text>
        <t/>
      </text>
    </comment>
    <comment ref="K2" authorId="0" shapeId="0">
      <text>
        <t/>
      </text>
    </comment>
    <comment ref="L2" authorId="0" shapeId="0">
      <text>
        <t/>
      </text>
    </comment>
    <comment ref="M2" authorId="0" shapeId="0">
      <text>
        <t/>
      </text>
    </comment>
    <comment ref="N2" authorId="0" shapeId="0">
      <text>
        <t/>
      </text>
    </comment>
    <comment ref="O2" authorId="0" shapeId="0">
      <text>
        <t/>
      </text>
    </comment>
    <comment ref="P2" authorId="0" shapeId="0">
      <text>
        <t/>
      </text>
    </comment>
    <comment ref="Q2" authorId="0" shapeId="0">
      <text>
        <t/>
      </text>
    </comment>
    <comment ref="R2" authorId="0" shapeId="0">
      <text>
        <t/>
      </text>
    </comment>
    <comment ref="S2" authorId="0" shapeId="0">
      <text>
        <t/>
      </text>
    </comment>
    <comment ref="T2" authorId="0" shapeId="0">
      <text>
        <t/>
      </text>
    </comment>
    <comment ref="U2" authorId="0" shapeId="0">
      <text>
        <t/>
      </text>
    </comment>
    <comment ref="AK2" authorId="0" shapeId="0">
      <text>
        <t/>
      </text>
    </comment>
    <comment ref="AL2" authorId="0" shapeId="0">
      <text>
        <t/>
      </text>
    </comment>
    <comment ref="AM2" authorId="0" shapeId="0">
      <text>
        <t/>
      </text>
    </comment>
    <comment ref="AN2" authorId="0" shapeId="0">
      <text>
        <t/>
      </text>
    </comment>
    <comment ref="AO2" authorId="0" shapeId="0">
      <text>
        <t/>
      </text>
    </comment>
    <comment ref="AP2" authorId="0" shapeId="0">
      <text>
        <t/>
      </text>
    </comment>
    <comment ref="AQ2" authorId="0" shapeId="0">
      <text>
        <t/>
      </text>
    </comment>
    <comment ref="AR2" authorId="0" shapeId="0">
      <text>
        <t/>
      </text>
    </comment>
    <comment ref="AS2" authorId="0" shapeId="0">
      <text>
        <t/>
      </text>
    </comment>
    <comment ref="AV2" authorId="0" shapeId="0">
      <text>
        <t/>
      </text>
    </comment>
    <comment ref="AW2" authorId="0" shapeId="0">
      <text>
        <t/>
      </text>
    </comment>
    <comment ref="AX2" authorId="0" shapeId="0">
      <text>
        <t/>
      </text>
    </comment>
    <comment ref="AY2" authorId="0" shapeId="0">
      <text>
        <t/>
      </text>
    </comment>
    <comment ref="AZ2" authorId="0" shapeId="0">
      <text>
        <t/>
      </text>
    </comment>
    <comment ref="BA2" authorId="0" shapeId="0">
      <text>
        <t/>
      </text>
    </comment>
    <comment ref="BB2" authorId="0" shapeId="0">
      <text>
        <t/>
      </text>
    </comment>
    <comment ref="BC2" authorId="0" shapeId="0">
      <text>
        <t/>
      </text>
    </comment>
    <comment ref="BD2" authorId="0" shapeId="0">
      <text>
        <t/>
      </text>
    </comment>
    <comment ref="BE2" authorId="0" shapeId="0">
      <text>
        <t/>
      </text>
    </comment>
    <comment ref="BF2" authorId="0" shapeId="0">
      <text>
        <t/>
      </text>
    </comment>
    <comment ref="BG2" authorId="0" shapeId="0">
      <text>
        <t/>
      </text>
    </comment>
    <comment ref="BH2" authorId="0" shapeId="0">
      <text>
        <t/>
      </text>
    </comment>
    <comment ref="BI2" authorId="0" shapeId="0">
      <text>
        <t/>
      </text>
    </comment>
    <comment ref="BJ2" authorId="0" shapeId="0">
      <text>
        <t/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"/>
  <sheetViews>
    <sheetView topLeftCell="A2" workbookViewId="0">
      <selection activeCell="B20" sqref="B20"/>
    </sheetView>
  </sheetViews>
  <sheetFormatPr baseColWidth="8" defaultColWidth="9.139196" defaultRowHeight="15"/>
  <cols>
    <col width="9.140625" customWidth="1" style="1" min="1" max="1"/>
    <col width="5.425781" bestFit="1" customWidth="1" style="1" min="2" max="2"/>
    <col width="21" bestFit="1" customWidth="1" style="1" min="3" max="3"/>
    <col width="109.285156" bestFit="1" customWidth="1" style="1" min="4" max="4"/>
    <col width="3.710938" bestFit="1" customWidth="1" style="1" min="5" max="5"/>
    <col width="32.425781" bestFit="1" customWidth="1" min="6" max="6"/>
    <col width="37.425781" bestFit="1" customWidth="1" min="7" max="7"/>
    <col width="15.855469" bestFit="1" customWidth="1" style="1" min="8" max="8"/>
    <col width="23" bestFit="1" customWidth="1" style="1" min="9" max="9"/>
    <col width="18.425781" bestFit="1" customWidth="1" style="1" min="10" max="10"/>
    <col width="22" bestFit="1" customWidth="1" style="1" min="11" max="11"/>
    <col width="14.425781" bestFit="1" customWidth="1" style="1" min="12" max="12"/>
    <col width="15.570312" bestFit="1" customWidth="1" style="1" min="13" max="13"/>
    <col width="15.855469" bestFit="1" customWidth="1" style="1" min="14" max="14"/>
    <col width="12.285156" bestFit="1" customWidth="1" style="1" min="15" max="15"/>
    <col width="21.570312" bestFit="1" customWidth="1" style="1" min="16" max="16"/>
    <col width="19.140625" bestFit="1" customWidth="1" style="1" min="17" max="17"/>
    <col width="15" bestFit="1" customWidth="1" style="1" min="18" max="18"/>
    <col width="19.710938" bestFit="1" customWidth="1" style="1" min="19" max="19"/>
    <col width="24.140625" bestFit="1" customWidth="1" style="1" min="20" max="20"/>
    <col width="16.710938" bestFit="1" customWidth="1" style="1" min="21" max="21"/>
    <col width="16" bestFit="1" customWidth="1" style="1" min="22" max="22"/>
    <col width="19.425781" bestFit="1" customWidth="1" style="1" min="23" max="23"/>
    <col width="9.855468999999999" bestFit="1" customWidth="1" style="1" min="24" max="24"/>
    <col width="72.570312" bestFit="1" customWidth="1" style="1" min="25" max="25"/>
    <col width="77.855469" bestFit="1" customWidth="1" style="1" min="26" max="26"/>
    <col width="8.570311999999999" bestFit="1" customWidth="1" style="1" min="27" max="27"/>
    <col width="13.285156" bestFit="1" customWidth="1" style="1" min="28" max="28"/>
    <col width="7.570312" bestFit="1" customWidth="1" style="1" min="29" max="29"/>
    <col width="11.425781" bestFit="1" customWidth="1" style="1" min="30" max="30"/>
    <col width="5.285156" bestFit="1" customWidth="1" style="1" min="31" max="32"/>
    <col width="37" bestFit="1" customWidth="1" min="33" max="33"/>
    <col width="19" bestFit="1" customWidth="1" min="34" max="34"/>
    <col width="10" bestFit="1" customWidth="1" min="35" max="35"/>
    <col width="13.285156" bestFit="1" customWidth="1" style="1" min="36" max="36"/>
    <col width="9.710938000000001" bestFit="1" customWidth="1" style="1" min="37" max="37"/>
    <col width="20.425781" bestFit="1" customWidth="1" style="1" min="38" max="38"/>
    <col width="20.425781" bestFit="1" customWidth="1" min="39" max="39"/>
    <col width="22.425781" bestFit="1" customWidth="1" style="1" min="40" max="40"/>
    <col width="12.425781" bestFit="1" customWidth="1" min="41" max="41"/>
    <col width="26.855469" bestFit="1" customWidth="1" min="42" max="42"/>
    <col width="11.425781" bestFit="1" customWidth="1" min="43" max="43"/>
    <col width="6.425781" bestFit="1" customWidth="1" style="1" min="44" max="44"/>
    <col width="14.285156" bestFit="1" customWidth="1" min="45" max="45"/>
    <col width="22.710938" bestFit="1" customWidth="1" min="46" max="46"/>
    <col width="9.140625" customWidth="1" min="47" max="47"/>
  </cols>
  <sheetData>
    <row r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DN</t>
        </is>
      </c>
      <c r="F1" t="inlineStr">
        <is>
          <t>ContentGeometryParamDefinition</t>
        </is>
      </c>
      <c r="G1" t="inlineStr">
        <is>
          <t>SizeRecordId_S-ALL</t>
        </is>
      </c>
      <c r="H1" s="77" t="inlineStr">
        <is>
          <t>PortName_S-ALL</t>
        </is>
      </c>
      <c r="I1" s="1" t="inlineStr">
        <is>
          <t>NominalDiameter_S-ALL</t>
        </is>
      </c>
      <c r="J1" s="1" t="inlineStr">
        <is>
          <t>NominalUnit_S-ALL</t>
        </is>
      </c>
      <c r="K1" s="1" t="inlineStr">
        <is>
          <t>MatchingPipeOd_S-ALL</t>
        </is>
      </c>
      <c r="L1" s="1" t="inlineStr">
        <is>
          <t>EndType_S-ALL</t>
        </is>
      </c>
      <c r="M1" s="1" t="inlineStr">
        <is>
          <t>FlangeStd_S-ALL</t>
        </is>
      </c>
      <c r="N1" s="1" t="inlineStr">
        <is>
          <t>GasketStd_S-ALL</t>
        </is>
      </c>
      <c r="O1" s="1" t="inlineStr">
        <is>
          <t>Facing_S-ALL</t>
        </is>
      </c>
      <c r="P1" s="1" t="inlineStr">
        <is>
          <t>FlangeThickness_S-ALL</t>
        </is>
      </c>
      <c r="Q1" s="1" t="inlineStr">
        <is>
          <t>PressureClass_S-ALL</t>
        </is>
      </c>
      <c r="R1" s="1" t="inlineStr">
        <is>
          <t>Schedule_S-ALL</t>
        </is>
      </c>
      <c r="S1" s="1" t="inlineStr">
        <is>
          <t>WallThickness_S-ALL</t>
        </is>
      </c>
      <c r="T1" s="1" t="inlineStr">
        <is>
          <t>EngagementLength_S-ALL</t>
        </is>
      </c>
      <c r="U1" s="1" t="inlineStr">
        <is>
          <t>LengthUnit_S-ALL</t>
        </is>
      </c>
      <c r="V1" s="1" t="inlineStr">
        <is>
          <t>ShortDescription</t>
        </is>
      </c>
      <c r="W1" s="1" t="inlineStr">
        <is>
          <t>CompatibleStandard</t>
        </is>
      </c>
      <c r="X1" s="1" t="inlineStr">
        <is>
          <t>DesignStd</t>
        </is>
      </c>
      <c r="Y1" s="1" t="inlineStr">
        <is>
          <t>PartFamilyLongDesc</t>
        </is>
      </c>
      <c r="Z1" s="1" t="inlineStr">
        <is>
          <t>PartSizeLongDesc</t>
        </is>
      </c>
      <c r="AA1" s="1" t="inlineStr">
        <is>
          <t>Material</t>
        </is>
      </c>
      <c r="AB1" s="1" t="inlineStr">
        <is>
          <t>MaterialCode</t>
        </is>
      </c>
      <c r="AC1" s="1" t="inlineStr">
        <is>
          <t>Weight</t>
        </is>
      </c>
      <c r="AD1" s="1" t="inlineStr">
        <is>
          <t>WeightUnit</t>
        </is>
      </c>
      <c r="AE1" s="1" t="inlineStr">
        <is>
          <t>SKEY</t>
        </is>
      </c>
      <c r="AF1" s="1" t="inlineStr">
        <is>
          <t>TYPE</t>
        </is>
      </c>
      <c r="AG1" t="inlineStr">
        <is>
          <t>PartFamilyId</t>
        </is>
      </c>
      <c r="AH1" t="inlineStr">
        <is>
          <t>CatalogPartFamilyId</t>
        </is>
      </c>
      <c r="AI1" t="inlineStr">
        <is>
          <t>PartStatus</t>
        </is>
      </c>
      <c r="AJ1" s="1" t="inlineStr">
        <is>
          <t>Manufacturer</t>
        </is>
      </c>
      <c r="AK1" s="1" t="inlineStr">
        <is>
          <t>ItemCode</t>
        </is>
      </c>
      <c r="AL1" s="1" t="inlineStr">
        <is>
          <t>DesignPressureFactor</t>
        </is>
      </c>
      <c r="AM1" t="inlineStr">
        <is>
          <t>ConnectionPortCount</t>
        </is>
      </c>
      <c r="AN1" s="1" t="inlineStr">
        <is>
          <t>ComponentDesignation</t>
        </is>
      </c>
      <c r="AO1" t="inlineStr">
        <is>
          <t>PartCategory</t>
        </is>
      </c>
      <c r="AP1" t="inlineStr">
        <is>
          <t>ContentIsoSymbolDefinition</t>
        </is>
      </c>
      <c r="AQ1" t="inlineStr">
        <is>
          <t>PartVersion</t>
        </is>
      </c>
      <c r="AR1" s="1" t="inlineStr">
        <is>
          <t>Status</t>
        </is>
      </c>
      <c r="AS1" t="inlineStr">
        <is>
          <t>PnPClassName</t>
        </is>
      </c>
      <c r="AT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DN</t>
        </is>
      </c>
      <c r="F2" s="2" t="inlineStr">
        <is>
          <t>ContentGeometryParamDefinition</t>
        </is>
      </c>
      <c r="G2" s="2" t="inlineStr">
        <is>
          <t>SizeRecordId_S-ALL</t>
        </is>
      </c>
      <c r="H2" s="78" t="inlineStr">
        <is>
          <t>PortName_S-ALL</t>
        </is>
      </c>
      <c r="I2" s="2" t="inlineStr">
        <is>
          <t>NominalDiameter_S-ALL</t>
        </is>
      </c>
      <c r="J2" s="2" t="inlineStr">
        <is>
          <t>NominalUnit_S-ALL</t>
        </is>
      </c>
      <c r="K2" s="2" t="inlineStr">
        <is>
          <t>MatchingPipeOd_S-ALL</t>
        </is>
      </c>
      <c r="L2" s="2" t="inlineStr">
        <is>
          <t>EndType_S-ALL</t>
        </is>
      </c>
      <c r="M2" s="2" t="inlineStr">
        <is>
          <t>FlangeStd_S-ALL</t>
        </is>
      </c>
      <c r="N2" s="2" t="inlineStr">
        <is>
          <t>GasketStd_S-ALL</t>
        </is>
      </c>
      <c r="O2" s="2" t="inlineStr">
        <is>
          <t>Facing_S-ALL</t>
        </is>
      </c>
      <c r="P2" s="2" t="inlineStr">
        <is>
          <t>FlangeThickness_S-ALL</t>
        </is>
      </c>
      <c r="Q2" s="2" t="inlineStr">
        <is>
          <t>PressureClass_S-ALL</t>
        </is>
      </c>
      <c r="R2" s="2" t="inlineStr">
        <is>
          <t>Schedule_S-ALL</t>
        </is>
      </c>
      <c r="S2" s="2" t="inlineStr">
        <is>
          <t>WallThickness_S-ALL</t>
        </is>
      </c>
      <c r="T2" s="2" t="inlineStr">
        <is>
          <t>EngagementLength_S-ALL</t>
        </is>
      </c>
      <c r="U2" s="2" t="inlineStr">
        <is>
          <t>LengthUnit_S-ALL</t>
        </is>
      </c>
      <c r="V2" s="2" t="inlineStr">
        <is>
          <t>ShortDescription</t>
        </is>
      </c>
      <c r="W2" s="2" t="inlineStr">
        <is>
          <t>CompatibleStandard</t>
        </is>
      </c>
      <c r="X2" s="2" t="inlineStr">
        <is>
          <t>DesignStd</t>
        </is>
      </c>
      <c r="Y2" s="2" t="inlineStr">
        <is>
          <t>PartFamilyLongDesc</t>
        </is>
      </c>
      <c r="Z2" s="2" t="inlineStr">
        <is>
          <t>PartSizeLongDesc</t>
        </is>
      </c>
      <c r="AA2" s="2" t="inlineStr">
        <is>
          <t>Material</t>
        </is>
      </c>
      <c r="AB2" s="2" t="inlineStr">
        <is>
          <t>MaterialCode</t>
        </is>
      </c>
      <c r="AC2" s="2" t="inlineStr">
        <is>
          <t>Weight</t>
        </is>
      </c>
      <c r="AD2" s="2" t="inlineStr">
        <is>
          <t>WeightUnit</t>
        </is>
      </c>
      <c r="AE2" s="2" t="inlineStr">
        <is>
          <t>SKEY</t>
        </is>
      </c>
      <c r="AF2" s="2" t="inlineStr">
        <is>
          <t>TYPE</t>
        </is>
      </c>
      <c r="AG2" s="2" t="inlineStr">
        <is>
          <t>PartFamilyId</t>
        </is>
      </c>
      <c r="AH2" s="2" t="inlineStr">
        <is>
          <t>CatalogPartFamilyId</t>
        </is>
      </c>
      <c r="AI2" s="2" t="inlineStr">
        <is>
          <t>PartStatus</t>
        </is>
      </c>
      <c r="AJ2" s="2" t="inlineStr">
        <is>
          <t>Manufacturer</t>
        </is>
      </c>
      <c r="AK2" s="2" t="inlineStr">
        <is>
          <t>ItemCode</t>
        </is>
      </c>
      <c r="AL2" s="2" t="inlineStr">
        <is>
          <t>DesignPressureFactor</t>
        </is>
      </c>
      <c r="AM2" s="2" t="inlineStr">
        <is>
          <t>ConnectionPortCount</t>
        </is>
      </c>
      <c r="AN2" s="2" t="inlineStr">
        <is>
          <t>ComponentDesignation</t>
        </is>
      </c>
      <c r="AO2" s="2" t="inlineStr">
        <is>
          <t>PartCategory</t>
        </is>
      </c>
      <c r="AP2" s="2" t="inlineStr">
        <is>
          <t>ContentIsoSymbolDefinition</t>
        </is>
      </c>
      <c r="AQ2" s="2" t="inlineStr">
        <is>
          <t>PartVersion</t>
        </is>
      </c>
      <c r="AR2" s="2" t="inlineStr">
        <is>
          <t>Status</t>
        </is>
      </c>
      <c r="AS2" s="2" t="inlineStr">
        <is>
          <t>PnPClassName</t>
        </is>
      </c>
      <c r="AT2" s="2" t="inlineStr">
        <is>
          <t>ExcelFormatVersion_2.0</t>
        </is>
      </c>
    </row>
    <row r="3">
      <c r="B3" s="1" t="inlineStr">
        <is>
          <t>15</t>
        </is>
      </c>
      <c r="C3" s="1" t="inlineStr">
        <is>
          <t>CUST_BLD_FLRF_CL150</t>
        </is>
      </c>
      <c r="D3" s="1" t="inlineStr">
        <is>
          <t>C:\AutoCAD Plant 3D 2026 Content\CPak Common\CustomScripts\CUST_BLD_FLRF_CL150.py</t>
        </is>
      </c>
      <c r="E3" s="1" t="inlineStr">
        <is>
          <t>15</t>
        </is>
      </c>
      <c r="F3" t="inlineStr">
        <is>
          <t>DN</t>
        </is>
      </c>
      <c r="G3" t="inlineStr">
        <is>
          <t>92a759e6-db91-415b-b361-323218448215</t>
        </is>
      </c>
      <c r="H3" s="77" t="inlineStr">
        <is>
          <t>ALL</t>
        </is>
      </c>
      <c r="I3" s="1" t="inlineStr">
        <is>
          <t>15</t>
        </is>
      </c>
      <c r="J3" s="1" t="inlineStr">
        <is>
          <t>mm</t>
        </is>
      </c>
      <c r="K3" s="1" t="inlineStr">
        <is>
          <t>21.34</t>
        </is>
      </c>
      <c r="L3" s="1" t="inlineStr">
        <is>
          <t>FL</t>
        </is>
      </c>
      <c r="O3" t="inlineStr">
        <is>
          <t>RF</t>
        </is>
      </c>
      <c r="Q3" s="1" t="inlineStr">
        <is>
          <t>150</t>
        </is>
      </c>
      <c r="S3" s="1" t="inlineStr">
        <is>
          <t>0</t>
        </is>
      </c>
      <c r="T3" s="1" t="inlineStr">
        <is>
          <t>0</t>
        </is>
      </c>
      <c r="U3" s="1" t="inlineStr">
        <is>
          <t>mm</t>
        </is>
      </c>
      <c r="V3" s="1" t="inlineStr">
        <is>
          <t>BLD_FLRF_CL150</t>
        </is>
      </c>
      <c r="Y3" s="1" t="inlineStr">
        <is>
          <t>Flange. Blind CL150 RF smooth (3.2-6.3 um) CS ASTM A105N Dims to ASME B16.5</t>
        </is>
      </c>
      <c r="Z3" s="1">
        <f>REPLACE(Y3, 14, 0, " DN" &amp; E3)</f>
        <v/>
      </c>
      <c r="AA3" s="1" t="inlineStr">
        <is>
          <t>CS</t>
        </is>
      </c>
      <c r="AG3" t="inlineStr">
        <is>
          <t>4e724419-3fe8-498c-889f-9683d252bbdd</t>
        </is>
      </c>
      <c r="AM3" t="inlineStr">
        <is>
          <t>1</t>
        </is>
      </c>
      <c r="AO3" t="inlineStr">
        <is>
          <t>Flanges</t>
        </is>
      </c>
      <c r="AS3" t="inlineStr">
        <is>
          <t>BlindFlange</t>
        </is>
      </c>
    </row>
    <row r="4">
      <c r="B4" s="1" t="inlineStr">
        <is>
          <t>20</t>
        </is>
      </c>
      <c r="C4" s="1" t="inlineStr">
        <is>
          <t>CUST_BLD_FLRF_CL150</t>
        </is>
      </c>
      <c r="D4" s="1" t="inlineStr">
        <is>
          <t>C:\AutoCAD Plant 3D 2026 Content\CPak Common\CustomScripts\CUST_BLD_FLRF_CL150.py</t>
        </is>
      </c>
      <c r="E4" s="1" t="inlineStr">
        <is>
          <t>20</t>
        </is>
      </c>
      <c r="F4" t="inlineStr">
        <is>
          <t>DN</t>
        </is>
      </c>
      <c r="G4" t="inlineStr">
        <is>
          <t>03d1ae23-4995-48b5-a955-5e74d11383ff</t>
        </is>
      </c>
      <c r="H4" s="77" t="inlineStr">
        <is>
          <t>ALL</t>
        </is>
      </c>
      <c r="I4" s="1" t="inlineStr">
        <is>
          <t>20</t>
        </is>
      </c>
      <c r="J4" s="1" t="inlineStr">
        <is>
          <t>mm</t>
        </is>
      </c>
      <c r="K4" s="1" t="inlineStr">
        <is>
          <t>26.67</t>
        </is>
      </c>
      <c r="L4" s="1" t="inlineStr">
        <is>
          <t>FL</t>
        </is>
      </c>
      <c r="O4" t="inlineStr">
        <is>
          <t>RF</t>
        </is>
      </c>
      <c r="Q4" s="1" t="inlineStr">
        <is>
          <t>150</t>
        </is>
      </c>
      <c r="S4" s="1" t="inlineStr">
        <is>
          <t>0</t>
        </is>
      </c>
      <c r="T4" s="1" t="inlineStr">
        <is>
          <t>0</t>
        </is>
      </c>
      <c r="U4" s="1" t="inlineStr">
        <is>
          <t>mm</t>
        </is>
      </c>
      <c r="V4" s="1" t="inlineStr">
        <is>
          <t>BLD_FLRF_CL150</t>
        </is>
      </c>
      <c r="Y4" s="1" t="inlineStr">
        <is>
          <t>Flange. Blind CL150 RF smooth (3.2-6.3 um) CS ASTM A105N Dims to ASME B16.5</t>
        </is>
      </c>
      <c r="Z4" s="1">
        <f>REPLACE(Y4, 14, 0, " DN" &amp; E4)</f>
        <v/>
      </c>
      <c r="AA4" s="1" t="inlineStr">
        <is>
          <t>CS</t>
        </is>
      </c>
      <c r="AG4" t="inlineStr">
        <is>
          <t>4e724419-3fe8-498c-889f-9683d252bbdd</t>
        </is>
      </c>
      <c r="AM4" t="inlineStr">
        <is>
          <t>1</t>
        </is>
      </c>
      <c r="AO4" t="inlineStr">
        <is>
          <t>Flanges</t>
        </is>
      </c>
      <c r="AS4" t="inlineStr">
        <is>
          <t>BlindFlange</t>
        </is>
      </c>
    </row>
    <row r="5">
      <c r="B5" s="1" t="inlineStr">
        <is>
          <t>25</t>
        </is>
      </c>
      <c r="C5" s="1" t="inlineStr">
        <is>
          <t>CUST_BLD_FLRF_CL150</t>
        </is>
      </c>
      <c r="D5" s="1" t="inlineStr">
        <is>
          <t>C:\AutoCAD Plant 3D 2026 Content\CPak Common\CustomScripts\CUST_BLD_FLRF_CL150.py</t>
        </is>
      </c>
      <c r="E5" s="1" t="inlineStr">
        <is>
          <t>25</t>
        </is>
      </c>
      <c r="F5" t="inlineStr">
        <is>
          <t>DN</t>
        </is>
      </c>
      <c r="G5" t="inlineStr">
        <is>
          <t>a55cf302-8ec7-40bf-b168-7e5568a5b3c9</t>
        </is>
      </c>
      <c r="H5" s="77" t="inlineStr">
        <is>
          <t>ALL</t>
        </is>
      </c>
      <c r="I5" s="1" t="inlineStr">
        <is>
          <t>25</t>
        </is>
      </c>
      <c r="J5" s="1" t="inlineStr">
        <is>
          <t>mm</t>
        </is>
      </c>
      <c r="K5" s="1" t="inlineStr">
        <is>
          <t>33.4</t>
        </is>
      </c>
      <c r="L5" s="1" t="inlineStr">
        <is>
          <t>FL</t>
        </is>
      </c>
      <c r="O5" t="inlineStr">
        <is>
          <t>RF</t>
        </is>
      </c>
      <c r="Q5" s="1" t="inlineStr">
        <is>
          <t>150</t>
        </is>
      </c>
      <c r="S5" s="1" t="inlineStr">
        <is>
          <t>0</t>
        </is>
      </c>
      <c r="T5" s="1" t="inlineStr">
        <is>
          <t>0</t>
        </is>
      </c>
      <c r="U5" s="1" t="inlineStr">
        <is>
          <t>mm</t>
        </is>
      </c>
      <c r="V5" s="1" t="inlineStr">
        <is>
          <t>BLD_FLRF_CL150</t>
        </is>
      </c>
      <c r="Y5" s="1" t="inlineStr">
        <is>
          <t>Flange. Blind CL150 RF smooth (3.2-6.3 um) CS ASTM A105N Dims to ASME B16.5</t>
        </is>
      </c>
      <c r="Z5" s="1">
        <f>REPLACE(Y5, 14, 0, " DN" &amp; E5)</f>
        <v/>
      </c>
      <c r="AA5" s="1" t="inlineStr">
        <is>
          <t>CS</t>
        </is>
      </c>
      <c r="AG5" t="inlineStr">
        <is>
          <t>4e724419-3fe8-498c-889f-9683d252bbdd</t>
        </is>
      </c>
      <c r="AM5" t="inlineStr">
        <is>
          <t>1</t>
        </is>
      </c>
      <c r="AO5" t="inlineStr">
        <is>
          <t>Flanges</t>
        </is>
      </c>
      <c r="AS5" t="inlineStr">
        <is>
          <t>BlindFlange</t>
        </is>
      </c>
    </row>
    <row r="6">
      <c r="B6" s="1" t="inlineStr">
        <is>
          <t>32</t>
        </is>
      </c>
      <c r="C6" s="1" t="inlineStr">
        <is>
          <t>CUST_BLD_FLRF_CL150</t>
        </is>
      </c>
      <c r="D6" s="1" t="inlineStr">
        <is>
          <t>C:\AutoCAD Plant 3D 2026 Content\CPak Common\CustomScripts\CUST_BLD_FLRF_CL150.py</t>
        </is>
      </c>
      <c r="E6" s="1" t="inlineStr">
        <is>
          <t>32</t>
        </is>
      </c>
      <c r="F6" t="inlineStr">
        <is>
          <t>DN</t>
        </is>
      </c>
      <c r="G6" t="inlineStr">
        <is>
          <t>fa2a7742-9e0e-41c2-ac29-c69d2d17a55b</t>
        </is>
      </c>
      <c r="H6" s="77" t="inlineStr">
        <is>
          <t>ALL</t>
        </is>
      </c>
      <c r="I6" s="1" t="inlineStr">
        <is>
          <t>32</t>
        </is>
      </c>
      <c r="J6" s="1" t="inlineStr">
        <is>
          <t>mm</t>
        </is>
      </c>
      <c r="K6" s="1" t="inlineStr">
        <is>
          <t>42.16</t>
        </is>
      </c>
      <c r="L6" s="1" t="inlineStr">
        <is>
          <t>FL</t>
        </is>
      </c>
      <c r="O6" t="inlineStr">
        <is>
          <t>RF</t>
        </is>
      </c>
      <c r="Q6" s="1" t="inlineStr">
        <is>
          <t>150</t>
        </is>
      </c>
      <c r="S6" s="1" t="inlineStr">
        <is>
          <t>0</t>
        </is>
      </c>
      <c r="T6" s="1" t="inlineStr">
        <is>
          <t>0</t>
        </is>
      </c>
      <c r="U6" s="1" t="inlineStr">
        <is>
          <t>mm</t>
        </is>
      </c>
      <c r="V6" s="1" t="inlineStr">
        <is>
          <t>BLD_FLRF_CL150</t>
        </is>
      </c>
      <c r="Y6" s="1" t="inlineStr">
        <is>
          <t>Flange. Blind CL150 RF smooth (3.2-6.3 um) CS ASTM A105N Dims to ASME B16.5</t>
        </is>
      </c>
      <c r="Z6" s="1">
        <f>REPLACE(Y6, 14, 0, " DN" &amp; E6)</f>
        <v/>
      </c>
      <c r="AA6" s="1" t="inlineStr">
        <is>
          <t>CS</t>
        </is>
      </c>
      <c r="AG6" t="inlineStr">
        <is>
          <t>4e724419-3fe8-498c-889f-9683d252bbdd</t>
        </is>
      </c>
      <c r="AM6" t="inlineStr">
        <is>
          <t>1</t>
        </is>
      </c>
      <c r="AO6" t="inlineStr">
        <is>
          <t>Flanges</t>
        </is>
      </c>
      <c r="AS6" t="inlineStr">
        <is>
          <t>BlindFlange</t>
        </is>
      </c>
    </row>
    <row r="7">
      <c r="B7" s="1" t="inlineStr">
        <is>
          <t>40</t>
        </is>
      </c>
      <c r="C7" s="1" t="inlineStr">
        <is>
          <t>CUST_BLD_FLRF_CL150</t>
        </is>
      </c>
      <c r="D7" s="1" t="inlineStr">
        <is>
          <t>C:\AutoCAD Plant 3D 2026 Content\CPak Common\CustomScripts\CUST_BLD_FLRF_CL150.py</t>
        </is>
      </c>
      <c r="E7" s="1" t="inlineStr">
        <is>
          <t>40</t>
        </is>
      </c>
      <c r="F7" t="inlineStr">
        <is>
          <t>DN</t>
        </is>
      </c>
      <c r="G7" t="inlineStr">
        <is>
          <t>1f70a953-f359-4fa4-8f2a-0eee2ba05ac8</t>
        </is>
      </c>
      <c r="H7" s="77" t="inlineStr">
        <is>
          <t>ALL</t>
        </is>
      </c>
      <c r="I7" s="1" t="inlineStr">
        <is>
          <t>40</t>
        </is>
      </c>
      <c r="J7" s="1" t="inlineStr">
        <is>
          <t>mm</t>
        </is>
      </c>
      <c r="K7" s="1" t="inlineStr">
        <is>
          <t>48.26</t>
        </is>
      </c>
      <c r="L7" s="1" t="inlineStr">
        <is>
          <t>FL</t>
        </is>
      </c>
      <c r="O7" t="inlineStr">
        <is>
          <t>RF</t>
        </is>
      </c>
      <c r="Q7" s="1" t="inlineStr">
        <is>
          <t>150</t>
        </is>
      </c>
      <c r="S7" s="1" t="inlineStr">
        <is>
          <t>0</t>
        </is>
      </c>
      <c r="T7" s="1" t="inlineStr">
        <is>
          <t>0</t>
        </is>
      </c>
      <c r="U7" s="1" t="inlineStr">
        <is>
          <t>mm</t>
        </is>
      </c>
      <c r="V7" s="1" t="inlineStr">
        <is>
          <t>BLD_FLRF_CL150</t>
        </is>
      </c>
      <c r="Y7" s="1" t="inlineStr">
        <is>
          <t>Flange. Blind CL150 RF smooth (3.2-6.3 um) CS ASTM A105N Dims to ASME B16.5</t>
        </is>
      </c>
      <c r="Z7" s="1">
        <f>REPLACE(Y7, 14, 0, " DN" &amp; E7)</f>
        <v/>
      </c>
      <c r="AA7" s="1" t="inlineStr">
        <is>
          <t>CS</t>
        </is>
      </c>
      <c r="AG7" t="inlineStr">
        <is>
          <t>4e724419-3fe8-498c-889f-9683d252bbdd</t>
        </is>
      </c>
      <c r="AM7" t="inlineStr">
        <is>
          <t>1</t>
        </is>
      </c>
      <c r="AO7" t="inlineStr">
        <is>
          <t>Flanges</t>
        </is>
      </c>
      <c r="AS7" t="inlineStr">
        <is>
          <t>BlindFlange</t>
        </is>
      </c>
    </row>
    <row r="8">
      <c r="B8" s="1" t="inlineStr">
        <is>
          <t>50</t>
        </is>
      </c>
      <c r="C8" s="1" t="inlineStr">
        <is>
          <t>CUST_BLD_FLRF_CL150</t>
        </is>
      </c>
      <c r="D8" s="1" t="inlineStr">
        <is>
          <t>C:\AutoCAD Plant 3D 2026 Content\CPak Common\CustomScripts\CUST_BLD_FLRF_CL150.py</t>
        </is>
      </c>
      <c r="E8" s="1" t="inlineStr">
        <is>
          <t>50</t>
        </is>
      </c>
      <c r="F8" t="inlineStr">
        <is>
          <t>DN</t>
        </is>
      </c>
      <c r="G8" t="inlineStr">
        <is>
          <t>b8465cbf-ab8b-4135-a0c9-b277ace7b4da</t>
        </is>
      </c>
      <c r="H8" s="77" t="inlineStr">
        <is>
          <t>ALL</t>
        </is>
      </c>
      <c r="I8" s="1" t="inlineStr">
        <is>
          <t>50</t>
        </is>
      </c>
      <c r="J8" s="1" t="inlineStr">
        <is>
          <t>mm</t>
        </is>
      </c>
      <c r="K8" s="1" t="inlineStr">
        <is>
          <t>60.32</t>
        </is>
      </c>
      <c r="L8" s="1" t="inlineStr">
        <is>
          <t>FL</t>
        </is>
      </c>
      <c r="O8" t="inlineStr">
        <is>
          <t>RF</t>
        </is>
      </c>
      <c r="Q8" s="1" t="inlineStr">
        <is>
          <t>150</t>
        </is>
      </c>
      <c r="S8" s="1" t="inlineStr">
        <is>
          <t>0</t>
        </is>
      </c>
      <c r="T8" s="1" t="inlineStr">
        <is>
          <t>0</t>
        </is>
      </c>
      <c r="U8" s="1" t="inlineStr">
        <is>
          <t>mm</t>
        </is>
      </c>
      <c r="V8" s="1" t="inlineStr">
        <is>
          <t>BLD_FLRF_CL150</t>
        </is>
      </c>
      <c r="Y8" s="1" t="inlineStr">
        <is>
          <t>Flange. Blind CL150 RF smooth (3.2-6.3 um) CS ASTM A105N Dims to ASME B16.5</t>
        </is>
      </c>
      <c r="Z8" s="1">
        <f>REPLACE(Y8, 14, 0, " DN" &amp; E8)</f>
        <v/>
      </c>
      <c r="AA8" s="1" t="inlineStr">
        <is>
          <t>CS</t>
        </is>
      </c>
      <c r="AG8" t="inlineStr">
        <is>
          <t>4e724419-3fe8-498c-889f-9683d252bbdd</t>
        </is>
      </c>
      <c r="AM8" t="inlineStr">
        <is>
          <t>1</t>
        </is>
      </c>
      <c r="AO8" t="inlineStr">
        <is>
          <t>Flanges</t>
        </is>
      </c>
      <c r="AS8" t="inlineStr">
        <is>
          <t>BlindFlange</t>
        </is>
      </c>
    </row>
    <row r="9">
      <c r="B9" s="1" t="inlineStr">
        <is>
          <t>65</t>
        </is>
      </c>
      <c r="C9" s="1" t="inlineStr">
        <is>
          <t>CUST_BLD_FLRF_CL150</t>
        </is>
      </c>
      <c r="D9" s="1" t="inlineStr">
        <is>
          <t>C:\AutoCAD Plant 3D 2026 Content\CPak Common\CustomScripts\CUST_BLD_FLRF_CL150.py</t>
        </is>
      </c>
      <c r="E9" s="1" t="inlineStr">
        <is>
          <t>65</t>
        </is>
      </c>
      <c r="F9" t="inlineStr">
        <is>
          <t>DN</t>
        </is>
      </c>
      <c r="G9" t="inlineStr">
        <is>
          <t>a0dc9905-61e8-4f0a-9f33-147cfd8647eb</t>
        </is>
      </c>
      <c r="H9" s="77" t="inlineStr">
        <is>
          <t>ALL</t>
        </is>
      </c>
      <c r="I9" s="1" t="inlineStr">
        <is>
          <t>65</t>
        </is>
      </c>
      <c r="J9" s="1" t="inlineStr">
        <is>
          <t>mm</t>
        </is>
      </c>
      <c r="K9" s="1" t="inlineStr">
        <is>
          <t>73.03</t>
        </is>
      </c>
      <c r="L9" s="1" t="inlineStr">
        <is>
          <t>FL</t>
        </is>
      </c>
      <c r="O9" t="inlineStr">
        <is>
          <t>RF</t>
        </is>
      </c>
      <c r="Q9" s="1" t="inlineStr">
        <is>
          <t>150</t>
        </is>
      </c>
      <c r="S9" s="1" t="inlineStr">
        <is>
          <t>0</t>
        </is>
      </c>
      <c r="T9" s="1" t="inlineStr">
        <is>
          <t>0</t>
        </is>
      </c>
      <c r="U9" s="1" t="inlineStr">
        <is>
          <t>mm</t>
        </is>
      </c>
      <c r="V9" s="1" t="inlineStr">
        <is>
          <t>BLD_FLRF_CL150</t>
        </is>
      </c>
      <c r="Y9" s="1" t="inlineStr">
        <is>
          <t>Flange. Blind CL150 RF smooth (3.2-6.3 um) CS ASTM A105N Dims to ASME B16.5</t>
        </is>
      </c>
      <c r="Z9" s="1">
        <f>REPLACE(Y9, 14, 0, " DN" &amp; E9)</f>
        <v/>
      </c>
      <c r="AA9" s="1" t="inlineStr">
        <is>
          <t>CS</t>
        </is>
      </c>
      <c r="AG9" t="inlineStr">
        <is>
          <t>4e724419-3fe8-498c-889f-9683d252bbdd</t>
        </is>
      </c>
      <c r="AM9" t="inlineStr">
        <is>
          <t>1</t>
        </is>
      </c>
      <c r="AO9" t="inlineStr">
        <is>
          <t>Flanges</t>
        </is>
      </c>
      <c r="AS9" t="inlineStr">
        <is>
          <t>BlindFlange</t>
        </is>
      </c>
    </row>
    <row r="10">
      <c r="B10" s="1" t="inlineStr">
        <is>
          <t>80</t>
        </is>
      </c>
      <c r="C10" s="1" t="inlineStr">
        <is>
          <t>CUST_BLD_FLRF_CL150</t>
        </is>
      </c>
      <c r="D10" s="1" t="inlineStr">
        <is>
          <t>C:\AutoCAD Plant 3D 2026 Content\CPak Common\CustomScripts\CUST_BLD_FLRF_CL150.py</t>
        </is>
      </c>
      <c r="E10" s="1" t="inlineStr">
        <is>
          <t>80</t>
        </is>
      </c>
      <c r="F10" t="inlineStr">
        <is>
          <t>DN</t>
        </is>
      </c>
      <c r="G10" t="inlineStr">
        <is>
          <t>e4942f7e-a508-4ac4-af23-5cdbc543e9fc</t>
        </is>
      </c>
      <c r="H10" s="77" t="inlineStr">
        <is>
          <t>ALL</t>
        </is>
      </c>
      <c r="I10" s="1" t="inlineStr">
        <is>
          <t>80</t>
        </is>
      </c>
      <c r="J10" s="1" t="inlineStr">
        <is>
          <t>mm</t>
        </is>
      </c>
      <c r="K10" s="1" t="inlineStr">
        <is>
          <t>88.9</t>
        </is>
      </c>
      <c r="L10" s="1" t="inlineStr">
        <is>
          <t>FL</t>
        </is>
      </c>
      <c r="O10" t="inlineStr">
        <is>
          <t>RF</t>
        </is>
      </c>
      <c r="Q10" s="1" t="inlineStr">
        <is>
          <t>150</t>
        </is>
      </c>
      <c r="S10" s="1" t="inlineStr">
        <is>
          <t>0</t>
        </is>
      </c>
      <c r="T10" s="1" t="inlineStr">
        <is>
          <t>0</t>
        </is>
      </c>
      <c r="U10" s="1" t="inlineStr">
        <is>
          <t>mm</t>
        </is>
      </c>
      <c r="V10" s="1" t="inlineStr">
        <is>
          <t>BLD_FLRF_CL150</t>
        </is>
      </c>
      <c r="Y10" s="1" t="inlineStr">
        <is>
          <t>Flange. Blind CL150 RF smooth (3.2-6.3 um) CS ASTM A105N Dims to ASME B16.5</t>
        </is>
      </c>
      <c r="Z10" s="1">
        <f>REPLACE(Y10, 14, 0, " DN" &amp; E10)</f>
        <v/>
      </c>
      <c r="AA10" s="1" t="inlineStr">
        <is>
          <t>CS</t>
        </is>
      </c>
      <c r="AG10" t="inlineStr">
        <is>
          <t>4e724419-3fe8-498c-889f-9683d252bbdd</t>
        </is>
      </c>
      <c r="AM10" t="inlineStr">
        <is>
          <t>1</t>
        </is>
      </c>
      <c r="AO10" t="inlineStr">
        <is>
          <t>Flanges</t>
        </is>
      </c>
      <c r="AS10" t="inlineStr">
        <is>
          <t>BlindFlange</t>
        </is>
      </c>
    </row>
    <row r="11">
      <c r="B11" s="1" t="inlineStr">
        <is>
          <t>90</t>
        </is>
      </c>
      <c r="C11" s="1" t="inlineStr">
        <is>
          <t>CUST_BLD_FLRF_CL150</t>
        </is>
      </c>
      <c r="D11" s="1" t="inlineStr">
        <is>
          <t>C:\AutoCAD Plant 3D 2026 Content\CPak Common\CustomScripts\CUST_BLD_FLRF_CL150.py</t>
        </is>
      </c>
      <c r="E11" s="1" t="inlineStr">
        <is>
          <t>90</t>
        </is>
      </c>
      <c r="F11" t="inlineStr">
        <is>
          <t>DN</t>
        </is>
      </c>
      <c r="G11" t="inlineStr">
        <is>
          <t>0fabddee-8a2d-4053-ad00-b5a2f9529a0c</t>
        </is>
      </c>
      <c r="H11" s="77" t="inlineStr">
        <is>
          <t>ALL</t>
        </is>
      </c>
      <c r="I11" s="1" t="inlineStr">
        <is>
          <t>90</t>
        </is>
      </c>
      <c r="J11" s="1" t="inlineStr">
        <is>
          <t>mm</t>
        </is>
      </c>
      <c r="K11" s="1" t="inlineStr">
        <is>
          <t>90</t>
        </is>
      </c>
      <c r="L11" s="1" t="inlineStr">
        <is>
          <t>FL</t>
        </is>
      </c>
      <c r="O11" t="inlineStr">
        <is>
          <t>RF</t>
        </is>
      </c>
      <c r="Q11" s="1" t="inlineStr">
        <is>
          <t>150</t>
        </is>
      </c>
      <c r="S11" s="1" t="inlineStr">
        <is>
          <t>0</t>
        </is>
      </c>
      <c r="T11" s="1" t="inlineStr">
        <is>
          <t>0</t>
        </is>
      </c>
      <c r="U11" s="1" t="inlineStr">
        <is>
          <t>mm</t>
        </is>
      </c>
      <c r="V11" s="1" t="inlineStr">
        <is>
          <t>BLD_FLRF_CL150</t>
        </is>
      </c>
      <c r="Y11" s="1" t="inlineStr">
        <is>
          <t>Flange. Blind CL150 RF smooth (3.2-6.3 um) CS ASTM A105N Dims to ASME B16.5</t>
        </is>
      </c>
      <c r="Z11" s="1">
        <f>REPLACE(Y11, 14, 0, " DN" &amp; E11)</f>
        <v/>
      </c>
      <c r="AA11" s="1" t="inlineStr">
        <is>
          <t>CS</t>
        </is>
      </c>
      <c r="AG11" t="inlineStr">
        <is>
          <t>4e724419-3fe8-498c-889f-9683d252bbdd</t>
        </is>
      </c>
      <c r="AM11" t="inlineStr">
        <is>
          <t>1</t>
        </is>
      </c>
      <c r="AO11" t="inlineStr">
        <is>
          <t>Flanges</t>
        </is>
      </c>
      <c r="AS11" t="inlineStr">
        <is>
          <t>BlindFlange</t>
        </is>
      </c>
    </row>
    <row r="12">
      <c r="B12" s="1" t="inlineStr">
        <is>
          <t>100</t>
        </is>
      </c>
      <c r="C12" s="1" t="inlineStr">
        <is>
          <t>CUST_BLD_FLRF_CL150</t>
        </is>
      </c>
      <c r="D12" s="1" t="inlineStr">
        <is>
          <t>C:\AutoCAD Plant 3D 2026 Content\CPak Common\CustomScripts\CUST_BLD_FLRF_CL150.py</t>
        </is>
      </c>
      <c r="E12" s="1" t="inlineStr">
        <is>
          <t>100</t>
        </is>
      </c>
      <c r="F12" t="inlineStr">
        <is>
          <t>DN</t>
        </is>
      </c>
      <c r="G12" t="inlineStr">
        <is>
          <t>1e35e4f9-1672-46d6-8840-e58ff9bc5466</t>
        </is>
      </c>
      <c r="H12" s="77" t="inlineStr">
        <is>
          <t>ALL</t>
        </is>
      </c>
      <c r="I12" s="1" t="inlineStr">
        <is>
          <t>100</t>
        </is>
      </c>
      <c r="J12" s="1" t="inlineStr">
        <is>
          <t>mm</t>
        </is>
      </c>
      <c r="K12" s="1" t="inlineStr">
        <is>
          <t>114.3</t>
        </is>
      </c>
      <c r="L12" s="1" t="inlineStr">
        <is>
          <t>FL</t>
        </is>
      </c>
      <c r="O12" t="inlineStr">
        <is>
          <t>RF</t>
        </is>
      </c>
      <c r="Q12" s="1" t="inlineStr">
        <is>
          <t>150</t>
        </is>
      </c>
      <c r="S12" s="1" t="inlineStr">
        <is>
          <t>0</t>
        </is>
      </c>
      <c r="T12" s="1" t="inlineStr">
        <is>
          <t>0</t>
        </is>
      </c>
      <c r="U12" s="1" t="inlineStr">
        <is>
          <t>mm</t>
        </is>
      </c>
      <c r="V12" s="1" t="inlineStr">
        <is>
          <t>BLD_FLRF_CL150</t>
        </is>
      </c>
      <c r="Y12" s="1" t="inlineStr">
        <is>
          <t>Flange. Blind CL150 RF smooth (3.2-6.3 um) CS ASTM A105N Dims to ASME B16.5</t>
        </is>
      </c>
      <c r="Z12" s="1">
        <f>REPLACE(Y12, 14, 0, " DN" &amp; E12)</f>
        <v/>
      </c>
      <c r="AA12" s="1" t="inlineStr">
        <is>
          <t>CS</t>
        </is>
      </c>
      <c r="AG12" t="inlineStr">
        <is>
          <t>4e724419-3fe8-498c-889f-9683d252bbdd</t>
        </is>
      </c>
      <c r="AM12" t="inlineStr">
        <is>
          <t>1</t>
        </is>
      </c>
      <c r="AO12" t="inlineStr">
        <is>
          <t>Flanges</t>
        </is>
      </c>
      <c r="AS12" t="inlineStr">
        <is>
          <t>BlindFlange</t>
        </is>
      </c>
    </row>
    <row r="13">
      <c r="B13" s="1" t="inlineStr">
        <is>
          <t>125</t>
        </is>
      </c>
      <c r="C13" s="1" t="inlineStr">
        <is>
          <t>CUST_BLD_FLRF_CL150</t>
        </is>
      </c>
      <c r="D13" s="1" t="inlineStr">
        <is>
          <t>C:\AutoCAD Plant 3D 2026 Content\CPak Common\CustomScripts\CUST_BLD_FLRF_CL150.py</t>
        </is>
      </c>
      <c r="E13" s="1" t="inlineStr">
        <is>
          <t>125</t>
        </is>
      </c>
      <c r="F13" t="inlineStr">
        <is>
          <t>DN</t>
        </is>
      </c>
      <c r="G13" t="inlineStr">
        <is>
          <t>7147af0c-3892-448a-acab-522b58337dbd</t>
        </is>
      </c>
      <c r="H13" s="77" t="inlineStr">
        <is>
          <t>ALL</t>
        </is>
      </c>
      <c r="I13" s="1" t="inlineStr">
        <is>
          <t>125</t>
        </is>
      </c>
      <c r="J13" s="1" t="inlineStr">
        <is>
          <t>mm</t>
        </is>
      </c>
      <c r="K13" s="1" t="inlineStr">
        <is>
          <t>125</t>
        </is>
      </c>
      <c r="L13" s="1" t="inlineStr">
        <is>
          <t>FL</t>
        </is>
      </c>
      <c r="O13" t="inlineStr">
        <is>
          <t>RF</t>
        </is>
      </c>
      <c r="Q13" s="1" t="inlineStr">
        <is>
          <t>150</t>
        </is>
      </c>
      <c r="S13" s="1" t="inlineStr">
        <is>
          <t>0</t>
        </is>
      </c>
      <c r="T13" s="1" t="inlineStr">
        <is>
          <t>0</t>
        </is>
      </c>
      <c r="U13" s="1" t="inlineStr">
        <is>
          <t>mm</t>
        </is>
      </c>
      <c r="V13" s="1" t="inlineStr">
        <is>
          <t>BLD_FLRF_CL150</t>
        </is>
      </c>
      <c r="Y13" s="1" t="inlineStr">
        <is>
          <t>Flange. Blind CL150 RF smooth (3.2-6.3 um) CS ASTM A105N Dims to ASME B16.5</t>
        </is>
      </c>
      <c r="Z13" s="1">
        <f>REPLACE(Y13, 14, 0, " DN" &amp; E13)</f>
        <v/>
      </c>
      <c r="AA13" s="1" t="inlineStr">
        <is>
          <t>CS</t>
        </is>
      </c>
      <c r="AG13" t="inlineStr">
        <is>
          <t>4e724419-3fe8-498c-889f-9683d252bbdd</t>
        </is>
      </c>
      <c r="AM13" t="inlineStr">
        <is>
          <t>1</t>
        </is>
      </c>
      <c r="AO13" t="inlineStr">
        <is>
          <t>Flanges</t>
        </is>
      </c>
      <c r="AS13" t="inlineStr">
        <is>
          <t>BlindFlange</t>
        </is>
      </c>
    </row>
    <row r="14">
      <c r="B14" s="1" t="inlineStr">
        <is>
          <t>150</t>
        </is>
      </c>
      <c r="C14" s="1" t="inlineStr">
        <is>
          <t>CUST_BLD_FLRF_CL150</t>
        </is>
      </c>
      <c r="D14" s="1" t="inlineStr">
        <is>
          <t>C:\AutoCAD Plant 3D 2026 Content\CPak Common\CustomScripts\CUST_BLD_FLRF_CL150.py</t>
        </is>
      </c>
      <c r="E14" s="1" t="inlineStr">
        <is>
          <t>150</t>
        </is>
      </c>
      <c r="F14" t="inlineStr">
        <is>
          <t>DN</t>
        </is>
      </c>
      <c r="G14" t="inlineStr">
        <is>
          <t>0a36733f-3a44-440a-937b-b21c87f4ed46</t>
        </is>
      </c>
      <c r="H14" s="77" t="inlineStr">
        <is>
          <t>ALL</t>
        </is>
      </c>
      <c r="I14" s="1" t="inlineStr">
        <is>
          <t>150</t>
        </is>
      </c>
      <c r="J14" s="1" t="inlineStr">
        <is>
          <t>mm</t>
        </is>
      </c>
      <c r="K14" s="1" t="inlineStr">
        <is>
          <t>168.3</t>
        </is>
      </c>
      <c r="L14" s="1" t="inlineStr">
        <is>
          <t>FL</t>
        </is>
      </c>
      <c r="O14" t="inlineStr">
        <is>
          <t>RF</t>
        </is>
      </c>
      <c r="Q14" s="1" t="inlineStr">
        <is>
          <t>150</t>
        </is>
      </c>
      <c r="S14" s="1" t="inlineStr">
        <is>
          <t>0</t>
        </is>
      </c>
      <c r="T14" s="1" t="inlineStr">
        <is>
          <t>0</t>
        </is>
      </c>
      <c r="U14" s="1" t="inlineStr">
        <is>
          <t>mm</t>
        </is>
      </c>
      <c r="V14" s="1" t="inlineStr">
        <is>
          <t>BLD_FLRF_CL150</t>
        </is>
      </c>
      <c r="Y14" s="1" t="inlineStr">
        <is>
          <t>Flange. Blind CL150 RF smooth (3.2-6.3 um) CS ASTM A105N Dims to ASME B16.5</t>
        </is>
      </c>
      <c r="Z14" s="1">
        <f>REPLACE(Y14, 14, 0, " DN" &amp; E14)</f>
        <v/>
      </c>
      <c r="AA14" s="1" t="inlineStr">
        <is>
          <t>CS</t>
        </is>
      </c>
      <c r="AG14" t="inlineStr">
        <is>
          <t>4e724419-3fe8-498c-889f-9683d252bbdd</t>
        </is>
      </c>
      <c r="AM14" t="inlineStr">
        <is>
          <t>1</t>
        </is>
      </c>
      <c r="AO14" t="inlineStr">
        <is>
          <t>Flanges</t>
        </is>
      </c>
      <c r="AS14" t="inlineStr">
        <is>
          <t>BlindFlange</t>
        </is>
      </c>
    </row>
    <row r="15">
      <c r="B15" s="1" t="inlineStr">
        <is>
          <t>200</t>
        </is>
      </c>
      <c r="C15" s="1" t="inlineStr">
        <is>
          <t>CUST_BLD_FLRF_CL150</t>
        </is>
      </c>
      <c r="D15" s="1" t="inlineStr">
        <is>
          <t>C:\AutoCAD Plant 3D 2026 Content\CPak Common\CustomScripts\CUST_BLD_FLRF_CL150.py</t>
        </is>
      </c>
      <c r="E15" s="1" t="inlineStr">
        <is>
          <t>200</t>
        </is>
      </c>
      <c r="F15" t="inlineStr">
        <is>
          <t>DN</t>
        </is>
      </c>
      <c r="G15" t="inlineStr">
        <is>
          <t>e07828d5-d0f3-44d1-8ede-2113aca04a9a</t>
        </is>
      </c>
      <c r="H15" s="77" t="inlineStr">
        <is>
          <t>ALL</t>
        </is>
      </c>
      <c r="I15" s="1" t="inlineStr">
        <is>
          <t>200</t>
        </is>
      </c>
      <c r="J15" s="1" t="inlineStr">
        <is>
          <t>mm</t>
        </is>
      </c>
      <c r="K15" s="1" t="inlineStr">
        <is>
          <t>219.1</t>
        </is>
      </c>
      <c r="L15" s="1" t="inlineStr">
        <is>
          <t>FL</t>
        </is>
      </c>
      <c r="O15" t="inlineStr">
        <is>
          <t>RF</t>
        </is>
      </c>
      <c r="Q15" s="1" t="inlineStr">
        <is>
          <t>150</t>
        </is>
      </c>
      <c r="S15" s="1" t="inlineStr">
        <is>
          <t>0</t>
        </is>
      </c>
      <c r="T15" s="1" t="inlineStr">
        <is>
          <t>0</t>
        </is>
      </c>
      <c r="U15" s="1" t="inlineStr">
        <is>
          <t>mm</t>
        </is>
      </c>
      <c r="V15" s="1" t="inlineStr">
        <is>
          <t>BLD_FLRF_CL150</t>
        </is>
      </c>
      <c r="Y15" s="1" t="inlineStr">
        <is>
          <t>Flange. Blind CL150 RF smooth (3.2-6.3 um) CS ASTM A105N Dims to ASME B16.5</t>
        </is>
      </c>
      <c r="Z15" s="1">
        <f>REPLACE(Y15, 14, 0, " DN" &amp; E15)</f>
        <v/>
      </c>
      <c r="AA15" s="1" t="inlineStr">
        <is>
          <t>CS</t>
        </is>
      </c>
      <c r="AG15" t="inlineStr">
        <is>
          <t>4e724419-3fe8-498c-889f-9683d252bbdd</t>
        </is>
      </c>
      <c r="AM15" t="inlineStr">
        <is>
          <t>1</t>
        </is>
      </c>
      <c r="AO15" t="inlineStr">
        <is>
          <t>Flanges</t>
        </is>
      </c>
      <c r="AS15" t="inlineStr">
        <is>
          <t>BlindFlange</t>
        </is>
      </c>
    </row>
    <row r="16">
      <c r="B16" s="1" t="inlineStr">
        <is>
          <t>250</t>
        </is>
      </c>
      <c r="C16" s="1" t="inlineStr">
        <is>
          <t>CUST_BLD_FLRF_CL150</t>
        </is>
      </c>
      <c r="D16" s="1" t="inlineStr">
        <is>
          <t>C:\AutoCAD Plant 3D 2026 Content\CPak Common\CustomScripts\CUST_BLD_FLRF_CL150.py</t>
        </is>
      </c>
      <c r="E16" s="1" t="inlineStr">
        <is>
          <t>250</t>
        </is>
      </c>
      <c r="F16" t="inlineStr">
        <is>
          <t>DN</t>
        </is>
      </c>
      <c r="G16" t="inlineStr">
        <is>
          <t>9846448c-ad46-4d0f-a41c-bf69d9e84fcb</t>
        </is>
      </c>
      <c r="H16" s="77" t="inlineStr">
        <is>
          <t>ALL</t>
        </is>
      </c>
      <c r="I16" s="1" t="inlineStr">
        <is>
          <t>250</t>
        </is>
      </c>
      <c r="J16" s="1" t="inlineStr">
        <is>
          <t>mm</t>
        </is>
      </c>
      <c r="K16" s="1" t="inlineStr">
        <is>
          <t>273.1</t>
        </is>
      </c>
      <c r="L16" s="1" t="inlineStr">
        <is>
          <t>FL</t>
        </is>
      </c>
      <c r="O16" t="inlineStr">
        <is>
          <t>RF</t>
        </is>
      </c>
      <c r="Q16" s="1" t="inlineStr">
        <is>
          <t>150</t>
        </is>
      </c>
      <c r="S16" s="1" t="inlineStr">
        <is>
          <t>0</t>
        </is>
      </c>
      <c r="T16" s="1" t="inlineStr">
        <is>
          <t>0</t>
        </is>
      </c>
      <c r="U16" s="1" t="inlineStr">
        <is>
          <t>mm</t>
        </is>
      </c>
      <c r="V16" s="1" t="inlineStr">
        <is>
          <t>BLD_FLRF_CL150</t>
        </is>
      </c>
      <c r="Y16" s="1" t="inlineStr">
        <is>
          <t>Flange. Blind CL150 RF smooth (3.2-6.3 um) CS ASTM A105N Dims to ASME B16.5</t>
        </is>
      </c>
      <c r="Z16" s="1">
        <f>REPLACE(Y16, 14, 0, " DN" &amp; E16)</f>
        <v/>
      </c>
      <c r="AA16" s="1" t="inlineStr">
        <is>
          <t>CS</t>
        </is>
      </c>
      <c r="AG16" t="inlineStr">
        <is>
          <t>4e724419-3fe8-498c-889f-9683d252bbdd</t>
        </is>
      </c>
      <c r="AM16" t="inlineStr">
        <is>
          <t>1</t>
        </is>
      </c>
      <c r="AO16" t="inlineStr">
        <is>
          <t>Flanges</t>
        </is>
      </c>
      <c r="AS16" t="inlineStr">
        <is>
          <t>BlindFlange</t>
        </is>
      </c>
    </row>
    <row r="17">
      <c r="B17" s="1" t="inlineStr">
        <is>
          <t>300</t>
        </is>
      </c>
      <c r="C17" s="1" t="inlineStr">
        <is>
          <t>CUST_BLD_FLRF_CL150</t>
        </is>
      </c>
      <c r="D17" s="1" t="inlineStr">
        <is>
          <t>C:\AutoCAD Plant 3D 2026 Content\CPak Common\CustomScripts\CUST_BLD_FLRF_CL150.py</t>
        </is>
      </c>
      <c r="E17" s="1" t="inlineStr">
        <is>
          <t>300</t>
        </is>
      </c>
      <c r="F17" t="inlineStr">
        <is>
          <t>DN</t>
        </is>
      </c>
      <c r="G17" t="inlineStr">
        <is>
          <t>f399de05-1b6e-4c6c-b08c-73f3667cf4ab</t>
        </is>
      </c>
      <c r="H17" s="77" t="inlineStr">
        <is>
          <t>ALL</t>
        </is>
      </c>
      <c r="I17" s="1" t="inlineStr">
        <is>
          <t>300</t>
        </is>
      </c>
      <c r="J17" s="1" t="inlineStr">
        <is>
          <t>mm</t>
        </is>
      </c>
      <c r="K17" s="1" t="inlineStr">
        <is>
          <t>323.9</t>
        </is>
      </c>
      <c r="L17" s="1" t="inlineStr">
        <is>
          <t>FL</t>
        </is>
      </c>
      <c r="O17" t="inlineStr">
        <is>
          <t>RF</t>
        </is>
      </c>
      <c r="Q17" s="1" t="inlineStr">
        <is>
          <t>150</t>
        </is>
      </c>
      <c r="S17" s="1" t="inlineStr">
        <is>
          <t>0</t>
        </is>
      </c>
      <c r="T17" s="1" t="inlineStr">
        <is>
          <t>0</t>
        </is>
      </c>
      <c r="U17" s="1" t="inlineStr">
        <is>
          <t>mm</t>
        </is>
      </c>
      <c r="V17" s="1" t="inlineStr">
        <is>
          <t>BLD_FLRF_CL150</t>
        </is>
      </c>
      <c r="Y17" s="1" t="inlineStr">
        <is>
          <t>Flange. Blind CL150 RF smooth (3.2-6.3 um) CS ASTM A105N Dims to ASME B16.5</t>
        </is>
      </c>
      <c r="Z17" s="1">
        <f>REPLACE(Y17, 14, 0, " DN" &amp; E17)</f>
        <v/>
      </c>
      <c r="AA17" s="1" t="inlineStr">
        <is>
          <t>CS</t>
        </is>
      </c>
      <c r="AG17" t="inlineStr">
        <is>
          <t>4e724419-3fe8-498c-889f-9683d252bbdd</t>
        </is>
      </c>
      <c r="AM17" t="inlineStr">
        <is>
          <t>1</t>
        </is>
      </c>
      <c r="AO17" t="inlineStr">
        <is>
          <t>Flanges</t>
        </is>
      </c>
      <c r="AS17" t="inlineStr">
        <is>
          <t>BlindFlange</t>
        </is>
      </c>
    </row>
    <row r="18">
      <c r="B18" s="1" t="inlineStr">
        <is>
          <t>350</t>
        </is>
      </c>
      <c r="C18" s="1" t="inlineStr">
        <is>
          <t>CUST_BLD_FLRF_CL150</t>
        </is>
      </c>
      <c r="D18" s="1" t="inlineStr">
        <is>
          <t>C:\AutoCAD Plant 3D 2026 Content\CPak Common\CustomScripts\CUST_BLD_FLRF_CL150.py</t>
        </is>
      </c>
      <c r="E18" s="1" t="inlineStr">
        <is>
          <t>350</t>
        </is>
      </c>
      <c r="F18" t="inlineStr">
        <is>
          <t>DN</t>
        </is>
      </c>
      <c r="G18" t="inlineStr">
        <is>
          <t>9159f084-0255-4264-a996-82592d060d39</t>
        </is>
      </c>
      <c r="H18" s="77" t="inlineStr">
        <is>
          <t>ALL</t>
        </is>
      </c>
      <c r="I18" s="1" t="inlineStr">
        <is>
          <t>350</t>
        </is>
      </c>
      <c r="J18" s="1" t="inlineStr">
        <is>
          <t>mm</t>
        </is>
      </c>
      <c r="K18" s="1" t="inlineStr">
        <is>
          <t>355.6</t>
        </is>
      </c>
      <c r="L18" s="1" t="inlineStr">
        <is>
          <t>FL</t>
        </is>
      </c>
      <c r="O18" t="inlineStr">
        <is>
          <t>RF</t>
        </is>
      </c>
      <c r="Q18" s="1" t="inlineStr">
        <is>
          <t>150</t>
        </is>
      </c>
      <c r="S18" s="1" t="inlineStr">
        <is>
          <t>0</t>
        </is>
      </c>
      <c r="T18" s="1" t="inlineStr">
        <is>
          <t>0</t>
        </is>
      </c>
      <c r="U18" s="1" t="inlineStr">
        <is>
          <t>mm</t>
        </is>
      </c>
      <c r="V18" s="1" t="inlineStr">
        <is>
          <t>BLD_FLRF_CL150</t>
        </is>
      </c>
      <c r="Y18" s="1" t="inlineStr">
        <is>
          <t>Flange. Blind CL150 RF smooth (3.2-6.3 um) CS ASTM A105N Dims to ASME B16.5</t>
        </is>
      </c>
      <c r="Z18" s="1">
        <f>REPLACE(Y18, 14, 0, " DN" &amp; E18)</f>
        <v/>
      </c>
      <c r="AA18" s="1" t="inlineStr">
        <is>
          <t>CS</t>
        </is>
      </c>
      <c r="AG18" t="inlineStr">
        <is>
          <t>4e724419-3fe8-498c-889f-9683d252bbdd</t>
        </is>
      </c>
      <c r="AM18" t="inlineStr">
        <is>
          <t>1</t>
        </is>
      </c>
      <c r="AO18" t="inlineStr">
        <is>
          <t>Flanges</t>
        </is>
      </c>
      <c r="AS18" t="inlineStr">
        <is>
          <t>BlindFlange</t>
        </is>
      </c>
    </row>
    <row r="19">
      <c r="B19" s="1" t="inlineStr">
        <is>
          <t>400</t>
        </is>
      </c>
      <c r="C19" s="1" t="inlineStr">
        <is>
          <t>CUST_BLD_FLRF_CL150</t>
        </is>
      </c>
      <c r="D19" s="1" t="inlineStr">
        <is>
          <t>C:\AutoCAD Plant 3D 2026 Content\CPak Common\CustomScripts\CUST_BLD_FLRF_CL150.py</t>
        </is>
      </c>
      <c r="E19" s="1" t="inlineStr">
        <is>
          <t>400</t>
        </is>
      </c>
      <c r="F19" t="inlineStr">
        <is>
          <t>DN</t>
        </is>
      </c>
      <c r="G19" t="inlineStr">
        <is>
          <t>6e35d12e-4004-4035-bf36-e50ec67e3784</t>
        </is>
      </c>
      <c r="H19" s="77" t="inlineStr">
        <is>
          <t>ALL</t>
        </is>
      </c>
      <c r="I19" s="1" t="inlineStr">
        <is>
          <t>400</t>
        </is>
      </c>
      <c r="J19" s="1" t="inlineStr">
        <is>
          <t>mm</t>
        </is>
      </c>
      <c r="K19" s="1" t="inlineStr">
        <is>
          <t>406.4</t>
        </is>
      </c>
      <c r="L19" s="1" t="inlineStr">
        <is>
          <t>FL</t>
        </is>
      </c>
      <c r="O19" t="inlineStr">
        <is>
          <t>RF</t>
        </is>
      </c>
      <c r="Q19" s="1" t="inlineStr">
        <is>
          <t>150</t>
        </is>
      </c>
      <c r="S19" s="1" t="inlineStr">
        <is>
          <t>0</t>
        </is>
      </c>
      <c r="T19" s="1" t="inlineStr">
        <is>
          <t>0</t>
        </is>
      </c>
      <c r="U19" s="1" t="inlineStr">
        <is>
          <t>mm</t>
        </is>
      </c>
      <c r="V19" s="1" t="inlineStr">
        <is>
          <t>BLD_FLRF_CL150</t>
        </is>
      </c>
      <c r="Y19" s="1" t="inlineStr">
        <is>
          <t>Flange. Blind CL150 RF smooth (3.2-6.3 um) CS ASTM A105N Dims to ASME B16.5</t>
        </is>
      </c>
      <c r="Z19" s="1">
        <f>REPLACE(Y19, 14, 0, " DN" &amp; E19)</f>
        <v/>
      </c>
      <c r="AA19" s="1" t="inlineStr">
        <is>
          <t>CS</t>
        </is>
      </c>
      <c r="AG19" t="inlineStr">
        <is>
          <t>4e724419-3fe8-498c-889f-9683d252bbdd</t>
        </is>
      </c>
      <c r="AM19" t="inlineStr">
        <is>
          <t>1</t>
        </is>
      </c>
      <c r="AO19" t="inlineStr">
        <is>
          <t>Flanges</t>
        </is>
      </c>
      <c r="AS19" t="inlineStr">
        <is>
          <t>BlindFlange</t>
        </is>
      </c>
    </row>
    <row r="20">
      <c r="B20" s="1" t="inlineStr">
        <is>
          <t>450</t>
        </is>
      </c>
      <c r="C20" s="1" t="inlineStr">
        <is>
          <t>CUST_BLD_FLRF_CL150</t>
        </is>
      </c>
      <c r="D20" s="1" t="inlineStr">
        <is>
          <t>C:\AutoCAD Plant 3D 2026 Content\CPak Common\CustomScripts\CUST_BLD_FLRF_CL150.py</t>
        </is>
      </c>
      <c r="E20" s="1" t="inlineStr">
        <is>
          <t>450</t>
        </is>
      </c>
      <c r="F20" t="inlineStr">
        <is>
          <t>DN</t>
        </is>
      </c>
      <c r="G20" t="inlineStr">
        <is>
          <t>89419d7f-ebb9-407a-8ada-a75284e072c1</t>
        </is>
      </c>
      <c r="H20" s="77" t="inlineStr">
        <is>
          <t>ALL</t>
        </is>
      </c>
      <c r="I20" s="1" t="inlineStr">
        <is>
          <t>450</t>
        </is>
      </c>
      <c r="J20" s="1" t="inlineStr">
        <is>
          <t>mm</t>
        </is>
      </c>
      <c r="K20" s="1" t="inlineStr">
        <is>
          <t>457.2</t>
        </is>
      </c>
      <c r="L20" s="1" t="inlineStr">
        <is>
          <t>FL</t>
        </is>
      </c>
      <c r="O20" t="inlineStr">
        <is>
          <t>RF</t>
        </is>
      </c>
      <c r="Q20" s="1" t="inlineStr">
        <is>
          <t>150</t>
        </is>
      </c>
      <c r="S20" s="1" t="inlineStr">
        <is>
          <t>0</t>
        </is>
      </c>
      <c r="T20" s="1" t="inlineStr">
        <is>
          <t>0</t>
        </is>
      </c>
      <c r="U20" s="1" t="inlineStr">
        <is>
          <t>mm</t>
        </is>
      </c>
      <c r="V20" s="1" t="inlineStr">
        <is>
          <t>BLD_FLRF_CL150</t>
        </is>
      </c>
      <c r="Y20" s="1" t="inlineStr">
        <is>
          <t>Flange. Blind CL150 RF smooth (3.2-6.3 um) CS ASTM A105N Dims to ASME B16.5</t>
        </is>
      </c>
      <c r="Z20" s="1">
        <f>REPLACE(Y20, 14, 0, " DN" &amp; E20)</f>
        <v/>
      </c>
      <c r="AA20" s="1" t="inlineStr">
        <is>
          <t>CS</t>
        </is>
      </c>
      <c r="AG20" t="inlineStr">
        <is>
          <t>4e724419-3fe8-498c-889f-9683d252bbdd</t>
        </is>
      </c>
      <c r="AM20" t="inlineStr">
        <is>
          <t>1</t>
        </is>
      </c>
      <c r="AO20" t="inlineStr">
        <is>
          <t>Flanges</t>
        </is>
      </c>
      <c r="AS20" t="inlineStr">
        <is>
          <t>BlindFlange</t>
        </is>
      </c>
    </row>
  </sheetData>
  <sheetProtection selectLockedCells="0" selectUnlockedCells="0" sheet="1" objects="1" insertRows="1" insertHyperlinks="1" autoFilter="1" scenarios="0" formatColumns="0" deleteColumns="0" insertColumns="0" pivotTables="1" deleteRows="1" formatCells="0" formatRows="1" sort="1"/>
  <dataValidations count="2">
    <dataValidation sqref="AD3:AD20" showDropDown="0" showInputMessage="1" showErrorMessage="1" allowBlank="1" errorTitle="" error="" promptTitle="" prompt="" type="list" errorStyle="stop" operator="between">
      <formula1>"LB,KG"</formula1>
    </dataValidation>
    <dataValidation sqref="I3:I20 K3:K20 P3:P20 S3:T20 AC3:AC20 AI3:AI20 AM3:AM20" showDropDown="0" showInputMessage="1" showErrorMessage="1" allowBlank="1" errorTitle="" error="" promptTitle="" prompt="" type="decimal" errorStyle="stop" operator="between">
      <formula1>-5</formula1>
      <formula2>100000</formula2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0"/>
  <sheetViews>
    <sheetView topLeftCell="A2" workbookViewId="0">
      <selection activeCell="A19" sqref="A19 15:15 17:17 19:19"/>
    </sheetView>
  </sheetViews>
  <sheetFormatPr baseColWidth="8" defaultColWidth="9.139196" defaultRowHeight="15"/>
  <cols>
    <col width="9.140625" customWidth="1" style="1" min="1" max="1"/>
    <col width="5.425781" bestFit="1" customWidth="1" style="1" min="2" max="2"/>
    <col width="21" bestFit="1" customWidth="1" style="1" min="3" max="3"/>
    <col width="109.285156" bestFit="1" customWidth="1" style="1" min="4" max="4"/>
    <col width="3.710938" bestFit="1" customWidth="1" style="1" min="5" max="5"/>
    <col width="32.425781" bestFit="1" customWidth="1" min="6" max="6"/>
    <col width="38" bestFit="1" customWidth="1" min="7" max="7"/>
    <col width="13.140625" bestFit="1" customWidth="1" style="1" min="8" max="8"/>
    <col width="20.140625" bestFit="1" customWidth="1" style="1" min="9" max="9"/>
    <col width="15.570312" bestFit="1" customWidth="1" style="1" min="10" max="10"/>
    <col width="19.140625" bestFit="1" customWidth="1" style="1" min="11" max="11"/>
    <col width="11.570312" bestFit="1" customWidth="1" style="1" min="12" max="12"/>
    <col width="12.710938" bestFit="1" customWidth="1" style="1" min="13" max="13"/>
    <col width="13.140625" bestFit="1" customWidth="1" style="1" min="14" max="14"/>
    <col width="9.570311999999999" bestFit="1" customWidth="1" style="1" min="15" max="15"/>
    <col width="18.710938" bestFit="1" customWidth="1" style="1" min="16" max="16"/>
    <col width="16.285156" bestFit="1" customWidth="1" style="1" min="17" max="17"/>
    <col width="12.140625" bestFit="1" customWidth="1" style="1" min="18" max="18"/>
    <col width="16.855469" bestFit="1" customWidth="1" style="1" min="19" max="19"/>
    <col width="21.425781" bestFit="1" customWidth="1" style="1" min="20" max="20"/>
    <col width="14" bestFit="1" customWidth="1" style="1" min="21" max="21"/>
    <col width="37.425781" bestFit="1" customWidth="1" min="22" max="22"/>
    <col width="13.140625" bestFit="1" customWidth="1" style="1" min="23" max="23"/>
    <col width="20.140625" bestFit="1" customWidth="1" style="1" min="24" max="24"/>
    <col width="15.570312" bestFit="1" customWidth="1" style="1" min="25" max="25"/>
    <col width="19.140625" bestFit="1" customWidth="1" style="1" min="26" max="26"/>
    <col width="11.570312" bestFit="1" customWidth="1" style="1" min="27" max="27"/>
    <col width="12.710938" bestFit="1" customWidth="1" style="1" min="28" max="28"/>
    <col width="13.140625" bestFit="1" customWidth="1" style="1" min="29" max="29"/>
    <col width="9.570311999999999" bestFit="1" customWidth="1" style="1" min="30" max="30"/>
    <col width="18.710938" bestFit="1" customWidth="1" style="1" min="31" max="31"/>
    <col width="16.285156" bestFit="1" customWidth="1" style="1" min="32" max="32"/>
    <col width="12.140625" bestFit="1" customWidth="1" style="1" min="33" max="33"/>
    <col width="16.855469" bestFit="1" customWidth="1" style="1" min="34" max="34"/>
    <col width="21.425781" bestFit="1" customWidth="1" style="1" min="35" max="35"/>
    <col width="14" bestFit="1" customWidth="1" style="1" min="36" max="36"/>
    <col width="16" bestFit="1" customWidth="1" style="1" min="37" max="37"/>
    <col width="19.425781" bestFit="1" customWidth="1" style="1" min="38" max="38"/>
    <col width="9.855468999999999" bestFit="1" customWidth="1" style="1" min="39" max="39"/>
    <col width="71.710938" bestFit="1" customWidth="1" style="1" min="40" max="40"/>
    <col width="77.425781" bestFit="1" customWidth="1" style="1" min="41" max="41"/>
    <col width="8.570311999999999" bestFit="1" customWidth="1" style="1" min="42" max="42"/>
    <col width="13.285156" bestFit="1" customWidth="1" style="1" min="43" max="43"/>
    <col width="7.570312" bestFit="1" customWidth="1" style="1" min="44" max="44"/>
    <col width="11.425781" bestFit="1" customWidth="1" style="1" min="45" max="45"/>
    <col width="5.285156" bestFit="1" customWidth="1" style="1" min="46" max="47"/>
    <col width="36.425781" bestFit="1" customWidth="1" min="48" max="48"/>
    <col width="19" bestFit="1" customWidth="1" min="49" max="49"/>
    <col width="10" bestFit="1" customWidth="1" min="50" max="50"/>
    <col width="13.285156" bestFit="1" customWidth="1" style="1" min="51" max="51"/>
    <col width="9.710938000000001" bestFit="1" customWidth="1" style="1" min="52" max="52"/>
    <col width="20.425781" bestFit="1" customWidth="1" style="1" min="53" max="53"/>
    <col width="20.425781" bestFit="1" customWidth="1" min="54" max="54"/>
    <col width="22.425781" bestFit="1" customWidth="1" style="1" min="55" max="55"/>
    <col width="12.425781" bestFit="1" customWidth="1" min="56" max="56"/>
    <col width="26.855469" bestFit="1" customWidth="1" min="57" max="57"/>
    <col width="11.425781" bestFit="1" customWidth="1" min="58" max="58"/>
    <col width="6.425781" bestFit="1" customWidth="1" style="1" min="59" max="59"/>
    <col width="14.285156" bestFit="1" customWidth="1" min="60" max="60"/>
    <col width="22.710938" bestFit="1" customWidth="1" min="61" max="61"/>
    <col width="9.140625" customWidth="1" min="62" max="62"/>
  </cols>
  <sheetData>
    <row r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DN</t>
        </is>
      </c>
      <c r="F1" t="inlineStr">
        <is>
          <t>ContentGeometryParamDefinition</t>
        </is>
      </c>
      <c r="G1" t="inlineStr">
        <is>
          <t>SizeRecordId_S1</t>
        </is>
      </c>
      <c r="H1" s="77" t="inlineStr">
        <is>
          <t>PortName_S1</t>
        </is>
      </c>
      <c r="I1" s="1" t="inlineStr">
        <is>
          <t>NominalDiameter_S1</t>
        </is>
      </c>
      <c r="J1" s="1" t="inlineStr">
        <is>
          <t>NominalUnit_S1</t>
        </is>
      </c>
      <c r="K1" s="1" t="inlineStr">
        <is>
          <t>MatchingPipeOd_S1</t>
        </is>
      </c>
      <c r="L1" s="1" t="inlineStr">
        <is>
          <t>EndType_S1</t>
        </is>
      </c>
      <c r="M1" s="1" t="inlineStr">
        <is>
          <t>FlangeStd_S1</t>
        </is>
      </c>
      <c r="N1" s="1" t="inlineStr">
        <is>
          <t>GasketStd_S1</t>
        </is>
      </c>
      <c r="O1" s="1" t="inlineStr">
        <is>
          <t>Facing_S1</t>
        </is>
      </c>
      <c r="P1" s="1" t="inlineStr">
        <is>
          <t>FlangeThickness_S1</t>
        </is>
      </c>
      <c r="Q1" s="1" t="inlineStr">
        <is>
          <t>PressureClass_S1</t>
        </is>
      </c>
      <c r="R1" s="1" t="inlineStr">
        <is>
          <t>Schedule_S1</t>
        </is>
      </c>
      <c r="S1" s="1" t="inlineStr">
        <is>
          <t>WallThickness_S1</t>
        </is>
      </c>
      <c r="T1" s="1" t="inlineStr">
        <is>
          <t>EngagementLength_S1</t>
        </is>
      </c>
      <c r="U1" s="1" t="inlineStr">
        <is>
          <t>LengthUnit_S1</t>
        </is>
      </c>
      <c r="V1" t="inlineStr">
        <is>
          <t>SizeRecordId_S2</t>
        </is>
      </c>
      <c r="W1" s="77" t="inlineStr">
        <is>
          <t>PortName_S2</t>
        </is>
      </c>
      <c r="X1" s="1" t="inlineStr">
        <is>
          <t>NominalDiameter_S2</t>
        </is>
      </c>
      <c r="Y1" s="1" t="inlineStr">
        <is>
          <t>NominalUnit_S2</t>
        </is>
      </c>
      <c r="Z1" s="1" t="inlineStr">
        <is>
          <t>MatchingPipeOd_S2</t>
        </is>
      </c>
      <c r="AA1" s="1" t="inlineStr">
        <is>
          <t>EndType_S2</t>
        </is>
      </c>
      <c r="AB1" s="1" t="inlineStr">
        <is>
          <t>FlangeStd_S2</t>
        </is>
      </c>
      <c r="AC1" s="1" t="inlineStr">
        <is>
          <t>GasketStd_S2</t>
        </is>
      </c>
      <c r="AD1" s="1" t="inlineStr">
        <is>
          <t>Facing_S2</t>
        </is>
      </c>
      <c r="AE1" s="1" t="inlineStr">
        <is>
          <t>FlangeThickness_S2</t>
        </is>
      </c>
      <c r="AF1" s="1" t="inlineStr">
        <is>
          <t>PressureClass_S2</t>
        </is>
      </c>
      <c r="AG1" s="1" t="inlineStr">
        <is>
          <t>Schedule_S2</t>
        </is>
      </c>
      <c r="AH1" s="1" t="inlineStr">
        <is>
          <t>WallThickness_S2</t>
        </is>
      </c>
      <c r="AI1" s="1" t="inlineStr">
        <is>
          <t>EngagementLength_S2</t>
        </is>
      </c>
      <c r="AJ1" s="1" t="inlineStr">
        <is>
          <t>LengthUnit_S2</t>
        </is>
      </c>
      <c r="AK1" s="1" t="inlineStr">
        <is>
          <t>ShortDescription</t>
        </is>
      </c>
      <c r="AL1" s="1" t="inlineStr">
        <is>
          <t>CompatibleStandard</t>
        </is>
      </c>
      <c r="AM1" s="1" t="inlineStr">
        <is>
          <t>DesignStd</t>
        </is>
      </c>
      <c r="AN1" s="1" t="inlineStr">
        <is>
          <t>PartFamilyLongDesc</t>
        </is>
      </c>
      <c r="AO1" s="1" t="inlineStr">
        <is>
          <t>PartSizeLongDesc</t>
        </is>
      </c>
      <c r="AP1" s="1" t="inlineStr">
        <is>
          <t>Material</t>
        </is>
      </c>
      <c r="AQ1" s="1" t="inlineStr">
        <is>
          <t>MaterialCode</t>
        </is>
      </c>
      <c r="AR1" s="1" t="inlineStr">
        <is>
          <t>Weight</t>
        </is>
      </c>
      <c r="AS1" s="1" t="inlineStr">
        <is>
          <t>WeightUnit</t>
        </is>
      </c>
      <c r="AT1" s="1" t="inlineStr">
        <is>
          <t>SKEY</t>
        </is>
      </c>
      <c r="AU1" s="1" t="inlineStr">
        <is>
          <t>TYPE</t>
        </is>
      </c>
      <c r="AV1" t="inlineStr">
        <is>
          <t>PartFamilyId</t>
        </is>
      </c>
      <c r="AW1" t="inlineStr">
        <is>
          <t>CatalogPartFamilyId</t>
        </is>
      </c>
      <c r="AX1" t="inlineStr">
        <is>
          <t>PartStatus</t>
        </is>
      </c>
      <c r="AY1" s="1" t="inlineStr">
        <is>
          <t>Manufacturer</t>
        </is>
      </c>
      <c r="AZ1" s="1" t="inlineStr">
        <is>
          <t>ItemCode</t>
        </is>
      </c>
      <c r="BA1" s="1" t="inlineStr">
        <is>
          <t>DesignPressureFactor</t>
        </is>
      </c>
      <c r="BB1" t="inlineStr">
        <is>
          <t>ConnectionPortCount</t>
        </is>
      </c>
      <c r="BC1" s="1" t="inlineStr">
        <is>
          <t>ComponentDesignation</t>
        </is>
      </c>
      <c r="BD1" t="inlineStr">
        <is>
          <t>PartCategory</t>
        </is>
      </c>
      <c r="BE1" t="inlineStr">
        <is>
          <t>ContentIsoSymbolDefinition</t>
        </is>
      </c>
      <c r="BF1" t="inlineStr">
        <is>
          <t>PartVersion</t>
        </is>
      </c>
      <c r="BG1" s="1" t="inlineStr">
        <is>
          <t>Status</t>
        </is>
      </c>
      <c r="BH1" t="inlineStr">
        <is>
          <t>PnPClassName</t>
        </is>
      </c>
      <c r="BI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DN</t>
        </is>
      </c>
      <c r="F2" s="2" t="inlineStr">
        <is>
          <t>ContentGeometryParamDefinition</t>
        </is>
      </c>
      <c r="G2" s="2" t="inlineStr">
        <is>
          <t>SizeRecordId_S1</t>
        </is>
      </c>
      <c r="H2" s="78" t="inlineStr">
        <is>
          <t>PortName_S1</t>
        </is>
      </c>
      <c r="I2" s="2" t="inlineStr">
        <is>
          <t>NominalDiameter_S1</t>
        </is>
      </c>
      <c r="J2" s="2" t="inlineStr">
        <is>
          <t>NominalUnit_S1</t>
        </is>
      </c>
      <c r="K2" s="2" t="inlineStr">
        <is>
          <t>MatchingPipeOd_S1</t>
        </is>
      </c>
      <c r="L2" s="2" t="inlineStr">
        <is>
          <t>EndType_S1</t>
        </is>
      </c>
      <c r="M2" s="2" t="inlineStr">
        <is>
          <t>FlangeStd_S1</t>
        </is>
      </c>
      <c r="N2" s="2" t="inlineStr">
        <is>
          <t>GasketStd_S1</t>
        </is>
      </c>
      <c r="O2" s="2" t="inlineStr">
        <is>
          <t>Facing_S1</t>
        </is>
      </c>
      <c r="P2" s="2" t="inlineStr">
        <is>
          <t>FlangeThickness_S1</t>
        </is>
      </c>
      <c r="Q2" s="2" t="inlineStr">
        <is>
          <t>PressureClass_S1</t>
        </is>
      </c>
      <c r="R2" s="2" t="inlineStr">
        <is>
          <t>Schedule_S1</t>
        </is>
      </c>
      <c r="S2" s="2" t="inlineStr">
        <is>
          <t>WallThickness_S1</t>
        </is>
      </c>
      <c r="T2" s="2" t="inlineStr">
        <is>
          <t>EngagementLength_S1</t>
        </is>
      </c>
      <c r="U2" s="2" t="inlineStr">
        <is>
          <t>LengthUnit_S1</t>
        </is>
      </c>
      <c r="V2" s="2" t="inlineStr">
        <is>
          <t>SizeRecordId_S2</t>
        </is>
      </c>
      <c r="W2" s="78" t="inlineStr">
        <is>
          <t>PortName_S2</t>
        </is>
      </c>
      <c r="X2" s="2" t="inlineStr">
        <is>
          <t>NominalDiameter_S2</t>
        </is>
      </c>
      <c r="Y2" s="2" t="inlineStr">
        <is>
          <t>NominalUnit_S2</t>
        </is>
      </c>
      <c r="Z2" s="2" t="inlineStr">
        <is>
          <t>MatchingPipeOd_S2</t>
        </is>
      </c>
      <c r="AA2" s="2" t="inlineStr">
        <is>
          <t>EndType_S2</t>
        </is>
      </c>
      <c r="AB2" s="2" t="inlineStr">
        <is>
          <t>FlangeStd_S2</t>
        </is>
      </c>
      <c r="AC2" s="2" t="inlineStr">
        <is>
          <t>GasketStd_S2</t>
        </is>
      </c>
      <c r="AD2" s="2" t="inlineStr">
        <is>
          <t>Facing_S2</t>
        </is>
      </c>
      <c r="AE2" s="2" t="inlineStr">
        <is>
          <t>FlangeThickness_S2</t>
        </is>
      </c>
      <c r="AF2" s="2" t="inlineStr">
        <is>
          <t>PressureClass_S2</t>
        </is>
      </c>
      <c r="AG2" s="2" t="inlineStr">
        <is>
          <t>Schedule_S2</t>
        </is>
      </c>
      <c r="AH2" s="2" t="inlineStr">
        <is>
          <t>WallThickness_S2</t>
        </is>
      </c>
      <c r="AI2" s="2" t="inlineStr">
        <is>
          <t>EngagementLength_S2</t>
        </is>
      </c>
      <c r="AJ2" s="2" t="inlineStr">
        <is>
          <t>LengthUnit_S2</t>
        </is>
      </c>
      <c r="AK2" s="2" t="inlineStr">
        <is>
          <t>ShortDescription</t>
        </is>
      </c>
      <c r="AL2" s="2" t="inlineStr">
        <is>
          <t>CompatibleStandard</t>
        </is>
      </c>
      <c r="AM2" s="2" t="inlineStr">
        <is>
          <t>DesignStd</t>
        </is>
      </c>
      <c r="AN2" s="2" t="inlineStr">
        <is>
          <t>PartFamilyLongDesc</t>
        </is>
      </c>
      <c r="AO2" s="2" t="inlineStr">
        <is>
          <t>PartSizeLongDesc</t>
        </is>
      </c>
      <c r="AP2" s="2" t="inlineStr">
        <is>
          <t>Material</t>
        </is>
      </c>
      <c r="AQ2" s="2" t="inlineStr">
        <is>
          <t>MaterialCode</t>
        </is>
      </c>
      <c r="AR2" s="2" t="inlineStr">
        <is>
          <t>Weight</t>
        </is>
      </c>
      <c r="AS2" s="2" t="inlineStr">
        <is>
          <t>WeightUnit</t>
        </is>
      </c>
      <c r="AT2" s="2" t="inlineStr">
        <is>
          <t>SKEY</t>
        </is>
      </c>
      <c r="AU2" s="2" t="inlineStr">
        <is>
          <t>TYPE</t>
        </is>
      </c>
      <c r="AV2" s="2" t="inlineStr">
        <is>
          <t>PartFamilyId</t>
        </is>
      </c>
      <c r="AW2" s="2" t="inlineStr">
        <is>
          <t>CatalogPartFamilyId</t>
        </is>
      </c>
      <c r="AX2" s="2" t="inlineStr">
        <is>
          <t>PartStatus</t>
        </is>
      </c>
      <c r="AY2" s="2" t="inlineStr">
        <is>
          <t>Manufacturer</t>
        </is>
      </c>
      <c r="AZ2" s="2" t="inlineStr">
        <is>
          <t>ItemCode</t>
        </is>
      </c>
      <c r="BA2" s="2" t="inlineStr">
        <is>
          <t>DesignPressureFactor</t>
        </is>
      </c>
      <c r="BB2" s="2" t="inlineStr">
        <is>
          <t>ConnectionPortCount</t>
        </is>
      </c>
      <c r="BC2" s="2" t="inlineStr">
        <is>
          <t>ComponentDesignation</t>
        </is>
      </c>
      <c r="BD2" s="2" t="inlineStr">
        <is>
          <t>PartCategory</t>
        </is>
      </c>
      <c r="BE2" s="2" t="inlineStr">
        <is>
          <t>ContentIsoSymbolDefinition</t>
        </is>
      </c>
      <c r="BF2" s="2" t="inlineStr">
        <is>
          <t>PartVersion</t>
        </is>
      </c>
      <c r="BG2" s="2" t="inlineStr">
        <is>
          <t>Status</t>
        </is>
      </c>
      <c r="BH2" s="2" t="inlineStr">
        <is>
          <t>PnPClassName</t>
        </is>
      </c>
      <c r="BI2" s="2" t="inlineStr">
        <is>
          <t>ExcelFormatVersion_2.0</t>
        </is>
      </c>
    </row>
    <row r="3">
      <c r="B3" s="1" t="inlineStr">
        <is>
          <t>15</t>
        </is>
      </c>
      <c r="C3" s="1" t="inlineStr">
        <is>
          <t>CUST_WN_FLRF_CL150</t>
        </is>
      </c>
      <c r="D3" s="1" t="inlineStr">
        <is>
          <t>C:\AutoCAD Plant 3D 2026 Content\CPak Common\CustomScripts\CUST_WN_FLRF_CL150.py</t>
        </is>
      </c>
      <c r="E3" s="1" t="inlineStr">
        <is>
          <t>15</t>
        </is>
      </c>
      <c r="F3" t="inlineStr">
        <is>
          <t>DN</t>
        </is>
      </c>
      <c r="G3" t="inlineStr">
        <is>
          <t>f5838e72-f1e7-47e3-9ad8-ca75b5354e2f</t>
        </is>
      </c>
      <c r="H3" s="77" t="inlineStr">
        <is>
          <t>S1</t>
        </is>
      </c>
      <c r="I3" s="1" t="inlineStr">
        <is>
          <t>15</t>
        </is>
      </c>
      <c r="J3" s="1" t="inlineStr">
        <is>
          <t>mm</t>
        </is>
      </c>
      <c r="K3" s="1" t="inlineStr">
        <is>
          <t>21.34</t>
        </is>
      </c>
      <c r="L3" s="1" t="inlineStr">
        <is>
          <t>FL</t>
        </is>
      </c>
      <c r="O3" t="inlineStr">
        <is>
          <t>RF</t>
        </is>
      </c>
      <c r="Q3" s="1" t="inlineStr">
        <is>
          <t>150</t>
        </is>
      </c>
      <c r="S3" s="1" t="inlineStr">
        <is>
          <t>0</t>
        </is>
      </c>
      <c r="T3" s="1" t="inlineStr">
        <is>
          <t>0</t>
        </is>
      </c>
      <c r="U3" s="1" t="inlineStr">
        <is>
          <t>mm</t>
        </is>
      </c>
      <c r="V3" t="inlineStr">
        <is>
          <t>08cdfa7f-f081-47d0-aa22-baaf7eb40b62</t>
        </is>
      </c>
      <c r="W3" s="77" t="inlineStr">
        <is>
          <t>S2</t>
        </is>
      </c>
      <c r="X3" s="1" t="inlineStr">
        <is>
          <t>15</t>
        </is>
      </c>
      <c r="Y3" s="1" t="inlineStr">
        <is>
          <t>mm</t>
        </is>
      </c>
      <c r="Z3" s="1" t="inlineStr">
        <is>
          <t>21.34</t>
        </is>
      </c>
      <c r="AA3" s="1" t="inlineStr">
        <is>
          <t>BV</t>
        </is>
      </c>
      <c r="AF3" s="1" t="inlineStr">
        <is>
          <t>150</t>
        </is>
      </c>
      <c r="AH3" s="1" t="inlineStr">
        <is>
          <t>0</t>
        </is>
      </c>
      <c r="AI3" s="1" t="inlineStr">
        <is>
          <t>0</t>
        </is>
      </c>
      <c r="AJ3" s="1" t="inlineStr">
        <is>
          <t>mm</t>
        </is>
      </c>
      <c r="AK3" s="1" t="inlineStr">
        <is>
          <t>WN_FLRF_CL150</t>
        </is>
      </c>
      <c r="AN3" s="1" t="inlineStr">
        <is>
          <t xml:space="preserve">Flange. WN CL150 RF smooth (3.2-6.3 um) CS ASTM A105N Dims to ASME B16.5 </t>
        </is>
      </c>
      <c r="AO3" s="1">
        <f>REPLACE(AN3, 11, 0, " DN" &amp; E3)</f>
        <v/>
      </c>
      <c r="AP3" s="1" t="inlineStr">
        <is>
          <t>CS</t>
        </is>
      </c>
      <c r="AV3" t="inlineStr">
        <is>
          <t>c17052bd-a37c-4ad6-9f9d-a99a8c57f8b5</t>
        </is>
      </c>
      <c r="BB3" t="inlineStr">
        <is>
          <t>2</t>
        </is>
      </c>
      <c r="BD3" t="inlineStr">
        <is>
          <t>Flanges</t>
        </is>
      </c>
      <c r="BH3" t="inlineStr">
        <is>
          <t>Flange</t>
        </is>
      </c>
    </row>
    <row r="4">
      <c r="B4" s="1" t="inlineStr">
        <is>
          <t>20</t>
        </is>
      </c>
      <c r="C4" s="1" t="inlineStr">
        <is>
          <t>CUST_WN_FLRF_CL150</t>
        </is>
      </c>
      <c r="D4" s="1" t="inlineStr">
        <is>
          <t>C:\AutoCAD Plant 3D 2026 Content\CPak Common\CustomScripts\CUST_WN_FLRF_CL150.py</t>
        </is>
      </c>
      <c r="E4" s="1" t="inlineStr">
        <is>
          <t>20</t>
        </is>
      </c>
      <c r="F4" t="inlineStr">
        <is>
          <t>DN</t>
        </is>
      </c>
      <c r="G4" t="inlineStr">
        <is>
          <t>6b730579-d49a-4d1a-937a-57fab43d63f2</t>
        </is>
      </c>
      <c r="H4" s="77" t="inlineStr">
        <is>
          <t>S1</t>
        </is>
      </c>
      <c r="I4" s="1" t="inlineStr">
        <is>
          <t>20</t>
        </is>
      </c>
      <c r="J4" s="1" t="inlineStr">
        <is>
          <t>mm</t>
        </is>
      </c>
      <c r="K4" s="1" t="inlineStr">
        <is>
          <t>26.67</t>
        </is>
      </c>
      <c r="L4" s="1" t="inlineStr">
        <is>
          <t>FL</t>
        </is>
      </c>
      <c r="O4" t="inlineStr">
        <is>
          <t>RF</t>
        </is>
      </c>
      <c r="Q4" s="1" t="inlineStr">
        <is>
          <t>150</t>
        </is>
      </c>
      <c r="S4" s="1" t="inlineStr">
        <is>
          <t>0</t>
        </is>
      </c>
      <c r="T4" s="1" t="inlineStr">
        <is>
          <t>0</t>
        </is>
      </c>
      <c r="U4" s="1" t="inlineStr">
        <is>
          <t>mm</t>
        </is>
      </c>
      <c r="V4" t="inlineStr">
        <is>
          <t>173f3293-f1d8-44f2-8e0b-a5d00ec64771</t>
        </is>
      </c>
      <c r="W4" s="77" t="inlineStr">
        <is>
          <t>S2</t>
        </is>
      </c>
      <c r="X4" s="1" t="inlineStr">
        <is>
          <t>20</t>
        </is>
      </c>
      <c r="Y4" s="1" t="inlineStr">
        <is>
          <t>mm</t>
        </is>
      </c>
      <c r="Z4" s="1" t="inlineStr">
        <is>
          <t>26.67</t>
        </is>
      </c>
      <c r="AA4" s="1" t="inlineStr">
        <is>
          <t>BV</t>
        </is>
      </c>
      <c r="AF4" s="1" t="inlineStr">
        <is>
          <t>150</t>
        </is>
      </c>
      <c r="AH4" s="1" t="inlineStr">
        <is>
          <t>0</t>
        </is>
      </c>
      <c r="AI4" s="1" t="inlineStr">
        <is>
          <t>0</t>
        </is>
      </c>
      <c r="AJ4" s="1" t="inlineStr">
        <is>
          <t>mm</t>
        </is>
      </c>
      <c r="AK4" s="1" t="inlineStr">
        <is>
          <t>WN_FLRF_CL150</t>
        </is>
      </c>
      <c r="AN4" s="1" t="inlineStr">
        <is>
          <t xml:space="preserve">Flange. WN CL150 RF smooth (3.2-6.3 um) CS ASTM A105N Dims to ASME B16.5 </t>
        </is>
      </c>
      <c r="AO4" s="1">
        <f>REPLACE(AN4, 11, 0, " DN" &amp; E4)</f>
        <v/>
      </c>
      <c r="AP4" s="1" t="inlineStr">
        <is>
          <t>CS</t>
        </is>
      </c>
      <c r="AV4" t="inlineStr">
        <is>
          <t>c17052bd-a37c-4ad6-9f9d-a99a8c57f8b5</t>
        </is>
      </c>
      <c r="BB4" t="inlineStr">
        <is>
          <t>2</t>
        </is>
      </c>
      <c r="BD4" t="inlineStr">
        <is>
          <t>Flanges</t>
        </is>
      </c>
      <c r="BH4" t="inlineStr">
        <is>
          <t>Flange</t>
        </is>
      </c>
    </row>
    <row r="5">
      <c r="B5" s="1" t="inlineStr">
        <is>
          <t>25</t>
        </is>
      </c>
      <c r="C5" s="1" t="inlineStr">
        <is>
          <t>CUST_WN_FLRF_CL150</t>
        </is>
      </c>
      <c r="D5" s="1" t="inlineStr">
        <is>
          <t>C:\AutoCAD Plant 3D 2026 Content\CPak Common\CustomScripts\CUST_WN_FLRF_CL150.py</t>
        </is>
      </c>
      <c r="E5" s="1" t="inlineStr">
        <is>
          <t>25</t>
        </is>
      </c>
      <c r="F5" t="inlineStr">
        <is>
          <t>DN</t>
        </is>
      </c>
      <c r="G5" t="inlineStr">
        <is>
          <t>30ebe079-0061-4ca5-9e9a-4b023a4f5bc6</t>
        </is>
      </c>
      <c r="H5" s="77" t="inlineStr">
        <is>
          <t>S1</t>
        </is>
      </c>
      <c r="I5" s="1" t="inlineStr">
        <is>
          <t>25</t>
        </is>
      </c>
      <c r="J5" s="1" t="inlineStr">
        <is>
          <t>mm</t>
        </is>
      </c>
      <c r="K5" s="1" t="inlineStr">
        <is>
          <t>33.4</t>
        </is>
      </c>
      <c r="L5" s="1" t="inlineStr">
        <is>
          <t>FL</t>
        </is>
      </c>
      <c r="O5" t="inlineStr">
        <is>
          <t>RF</t>
        </is>
      </c>
      <c r="Q5" s="1" t="inlineStr">
        <is>
          <t>150</t>
        </is>
      </c>
      <c r="S5" s="1" t="inlineStr">
        <is>
          <t>0</t>
        </is>
      </c>
      <c r="T5" s="1" t="inlineStr">
        <is>
          <t>0</t>
        </is>
      </c>
      <c r="U5" s="1" t="inlineStr">
        <is>
          <t>mm</t>
        </is>
      </c>
      <c r="V5" t="inlineStr">
        <is>
          <t>df40ff69-6b78-4b8b-8432-a723b2960b3a</t>
        </is>
      </c>
      <c r="W5" s="77" t="inlineStr">
        <is>
          <t>S2</t>
        </is>
      </c>
      <c r="X5" s="1" t="inlineStr">
        <is>
          <t>25</t>
        </is>
      </c>
      <c r="Y5" s="1" t="inlineStr">
        <is>
          <t>mm</t>
        </is>
      </c>
      <c r="Z5" s="1" t="inlineStr">
        <is>
          <t>33.4</t>
        </is>
      </c>
      <c r="AA5" s="1" t="inlineStr">
        <is>
          <t>BV</t>
        </is>
      </c>
      <c r="AF5" s="1" t="inlineStr">
        <is>
          <t>150</t>
        </is>
      </c>
      <c r="AH5" s="1" t="inlineStr">
        <is>
          <t>0</t>
        </is>
      </c>
      <c r="AI5" s="1" t="inlineStr">
        <is>
          <t>0</t>
        </is>
      </c>
      <c r="AJ5" s="1" t="inlineStr">
        <is>
          <t>mm</t>
        </is>
      </c>
      <c r="AK5" s="1" t="inlineStr">
        <is>
          <t>WN_FLRF_CL150</t>
        </is>
      </c>
      <c r="AN5" s="1" t="inlineStr">
        <is>
          <t xml:space="preserve">Flange. WN CL150 RF smooth (3.2-6.3 um) CS ASTM A105N Dims to ASME B16.5 </t>
        </is>
      </c>
      <c r="AO5" s="1">
        <f>REPLACE(AN5, 11, 0, " DN" &amp; E5)</f>
        <v/>
      </c>
      <c r="AP5" s="1" t="inlineStr">
        <is>
          <t>CS</t>
        </is>
      </c>
      <c r="AV5" t="inlineStr">
        <is>
          <t>c17052bd-a37c-4ad6-9f9d-a99a8c57f8b5</t>
        </is>
      </c>
      <c r="BB5" t="inlineStr">
        <is>
          <t>2</t>
        </is>
      </c>
      <c r="BD5" t="inlineStr">
        <is>
          <t>Flanges</t>
        </is>
      </c>
      <c r="BH5" t="inlineStr">
        <is>
          <t>Flange</t>
        </is>
      </c>
    </row>
    <row r="6">
      <c r="B6" s="1" t="inlineStr">
        <is>
          <t>32</t>
        </is>
      </c>
      <c r="C6" s="1" t="inlineStr">
        <is>
          <t>CUST_WN_FLRF_CL150</t>
        </is>
      </c>
      <c r="D6" s="1" t="inlineStr">
        <is>
          <t>C:\AutoCAD Plant 3D 2026 Content\CPak Common\CustomScripts\CUST_WN_FLRF_CL150.py</t>
        </is>
      </c>
      <c r="E6" s="1" t="inlineStr">
        <is>
          <t>32</t>
        </is>
      </c>
      <c r="F6" t="inlineStr">
        <is>
          <t>DN</t>
        </is>
      </c>
      <c r="G6" t="inlineStr">
        <is>
          <t>26f0e0e4-309b-42e8-b6c6-788c4cc38d23</t>
        </is>
      </c>
      <c r="H6" s="77" t="inlineStr">
        <is>
          <t>S1</t>
        </is>
      </c>
      <c r="I6" s="1" t="inlineStr">
        <is>
          <t>32</t>
        </is>
      </c>
      <c r="J6" s="1" t="inlineStr">
        <is>
          <t>mm</t>
        </is>
      </c>
      <c r="K6" s="1" t="inlineStr">
        <is>
          <t>42.16</t>
        </is>
      </c>
      <c r="L6" s="1" t="inlineStr">
        <is>
          <t>FL</t>
        </is>
      </c>
      <c r="O6" t="inlineStr">
        <is>
          <t>RF</t>
        </is>
      </c>
      <c r="Q6" s="1" t="inlineStr">
        <is>
          <t>150</t>
        </is>
      </c>
      <c r="S6" s="1" t="inlineStr">
        <is>
          <t>0</t>
        </is>
      </c>
      <c r="T6" s="1" t="inlineStr">
        <is>
          <t>0</t>
        </is>
      </c>
      <c r="U6" s="1" t="inlineStr">
        <is>
          <t>mm</t>
        </is>
      </c>
      <c r="V6" t="inlineStr">
        <is>
          <t>3692c6b6-5ef7-4982-bed7-a5dcaa21c6a0</t>
        </is>
      </c>
      <c r="W6" s="77" t="inlineStr">
        <is>
          <t>S2</t>
        </is>
      </c>
      <c r="X6" s="1" t="inlineStr">
        <is>
          <t>32</t>
        </is>
      </c>
      <c r="Y6" s="1" t="inlineStr">
        <is>
          <t>mm</t>
        </is>
      </c>
      <c r="Z6" s="1" t="inlineStr">
        <is>
          <t>42.16</t>
        </is>
      </c>
      <c r="AA6" s="1" t="inlineStr">
        <is>
          <t>BV</t>
        </is>
      </c>
      <c r="AF6" s="1" t="inlineStr">
        <is>
          <t>150</t>
        </is>
      </c>
      <c r="AH6" s="1" t="inlineStr">
        <is>
          <t>0</t>
        </is>
      </c>
      <c r="AI6" s="1" t="inlineStr">
        <is>
          <t>0</t>
        </is>
      </c>
      <c r="AJ6" s="1" t="inlineStr">
        <is>
          <t>mm</t>
        </is>
      </c>
      <c r="AK6" s="1" t="inlineStr">
        <is>
          <t>WN_FLRF_CL150</t>
        </is>
      </c>
      <c r="AN6" s="1" t="inlineStr">
        <is>
          <t xml:space="preserve">Flange. WN CL150 RF smooth (3.2-6.3 um) CS ASTM A105N Dims to ASME B16.5 </t>
        </is>
      </c>
      <c r="AO6" s="1">
        <f>REPLACE(AN6, 11, 0, " DN" &amp; E6)</f>
        <v/>
      </c>
      <c r="AP6" s="1" t="inlineStr">
        <is>
          <t>CS</t>
        </is>
      </c>
      <c r="AV6" t="inlineStr">
        <is>
          <t>c17052bd-a37c-4ad6-9f9d-a99a8c57f8b5</t>
        </is>
      </c>
      <c r="BB6" t="inlineStr">
        <is>
          <t>2</t>
        </is>
      </c>
      <c r="BD6" t="inlineStr">
        <is>
          <t>Flanges</t>
        </is>
      </c>
      <c r="BH6" t="inlineStr">
        <is>
          <t>Flange</t>
        </is>
      </c>
    </row>
    <row r="7">
      <c r="B7" s="1" t="inlineStr">
        <is>
          <t>40</t>
        </is>
      </c>
      <c r="C7" s="1" t="inlineStr">
        <is>
          <t>CUST_WN_FLRF_CL150</t>
        </is>
      </c>
      <c r="D7" s="1" t="inlineStr">
        <is>
          <t>C:\AutoCAD Plant 3D 2026 Content\CPak Common\CustomScripts\CUST_WN_FLRF_CL150.py</t>
        </is>
      </c>
      <c r="E7" s="1" t="inlineStr">
        <is>
          <t>40</t>
        </is>
      </c>
      <c r="F7" t="inlineStr">
        <is>
          <t>DN</t>
        </is>
      </c>
      <c r="G7" t="inlineStr">
        <is>
          <t>9ce09772-57a4-4966-a222-34120b3432b4</t>
        </is>
      </c>
      <c r="H7" s="77" t="inlineStr">
        <is>
          <t>S1</t>
        </is>
      </c>
      <c r="I7" s="1" t="inlineStr">
        <is>
          <t>40</t>
        </is>
      </c>
      <c r="J7" s="1" t="inlineStr">
        <is>
          <t>mm</t>
        </is>
      </c>
      <c r="K7" s="1" t="inlineStr">
        <is>
          <t>48.26</t>
        </is>
      </c>
      <c r="L7" s="1" t="inlineStr">
        <is>
          <t>FL</t>
        </is>
      </c>
      <c r="O7" t="inlineStr">
        <is>
          <t>RF</t>
        </is>
      </c>
      <c r="Q7" s="1" t="inlineStr">
        <is>
          <t>150</t>
        </is>
      </c>
      <c r="S7" s="1" t="inlineStr">
        <is>
          <t>0</t>
        </is>
      </c>
      <c r="T7" s="1" t="inlineStr">
        <is>
          <t>0</t>
        </is>
      </c>
      <c r="U7" s="1" t="inlineStr">
        <is>
          <t>mm</t>
        </is>
      </c>
      <c r="V7" t="inlineStr">
        <is>
          <t>84593a2c-b6c7-463f-b8ec-b670703edd6b</t>
        </is>
      </c>
      <c r="W7" s="77" t="inlineStr">
        <is>
          <t>S2</t>
        </is>
      </c>
      <c r="X7" s="1" t="inlineStr">
        <is>
          <t>40</t>
        </is>
      </c>
      <c r="Y7" s="1" t="inlineStr">
        <is>
          <t>mm</t>
        </is>
      </c>
      <c r="Z7" s="1" t="inlineStr">
        <is>
          <t>48.26</t>
        </is>
      </c>
      <c r="AA7" s="1" t="inlineStr">
        <is>
          <t>BV</t>
        </is>
      </c>
      <c r="AF7" s="1" t="inlineStr">
        <is>
          <t>150</t>
        </is>
      </c>
      <c r="AH7" s="1" t="inlineStr">
        <is>
          <t>0</t>
        </is>
      </c>
      <c r="AI7" s="1" t="inlineStr">
        <is>
          <t>0</t>
        </is>
      </c>
      <c r="AJ7" s="1" t="inlineStr">
        <is>
          <t>mm</t>
        </is>
      </c>
      <c r="AK7" s="1" t="inlineStr">
        <is>
          <t>WN_FLRF_CL150</t>
        </is>
      </c>
      <c r="AN7" s="1" t="inlineStr">
        <is>
          <t xml:space="preserve">Flange. WN CL150 RF smooth (3.2-6.3 um) CS ASTM A105N Dims to ASME B16.5 </t>
        </is>
      </c>
      <c r="AO7" s="1">
        <f>REPLACE(AN7, 11, 0, " DN" &amp; E7)</f>
        <v/>
      </c>
      <c r="AP7" s="1" t="inlineStr">
        <is>
          <t>CS</t>
        </is>
      </c>
      <c r="AV7" t="inlineStr">
        <is>
          <t>c17052bd-a37c-4ad6-9f9d-a99a8c57f8b5</t>
        </is>
      </c>
      <c r="BB7" t="inlineStr">
        <is>
          <t>2</t>
        </is>
      </c>
      <c r="BD7" t="inlineStr">
        <is>
          <t>Flanges</t>
        </is>
      </c>
      <c r="BH7" t="inlineStr">
        <is>
          <t>Flange</t>
        </is>
      </c>
    </row>
    <row r="8">
      <c r="B8" s="1" t="inlineStr">
        <is>
          <t>50</t>
        </is>
      </c>
      <c r="C8" s="1" t="inlineStr">
        <is>
          <t>CUST_WN_FLRF_CL150</t>
        </is>
      </c>
      <c r="D8" s="1" t="inlineStr">
        <is>
          <t>C:\AutoCAD Plant 3D 2026 Content\CPak Common\CustomScripts\CUST_WN_FLRF_CL150.py</t>
        </is>
      </c>
      <c r="E8" s="1" t="inlineStr">
        <is>
          <t>50</t>
        </is>
      </c>
      <c r="F8" t="inlineStr">
        <is>
          <t>DN</t>
        </is>
      </c>
      <c r="G8" t="inlineStr">
        <is>
          <t>a4854db2-a599-43ec-8a8a-12092b08a3b8</t>
        </is>
      </c>
      <c r="H8" s="77" t="inlineStr">
        <is>
          <t>S1</t>
        </is>
      </c>
      <c r="I8" s="1" t="inlineStr">
        <is>
          <t>50</t>
        </is>
      </c>
      <c r="J8" s="1" t="inlineStr">
        <is>
          <t>mm</t>
        </is>
      </c>
      <c r="K8" s="1" t="inlineStr">
        <is>
          <t>60.32</t>
        </is>
      </c>
      <c r="L8" s="1" t="inlineStr">
        <is>
          <t>FL</t>
        </is>
      </c>
      <c r="O8" t="inlineStr">
        <is>
          <t>RF</t>
        </is>
      </c>
      <c r="Q8" s="1" t="inlineStr">
        <is>
          <t>150</t>
        </is>
      </c>
      <c r="S8" s="1" t="inlineStr">
        <is>
          <t>0</t>
        </is>
      </c>
      <c r="T8" s="1" t="inlineStr">
        <is>
          <t>0</t>
        </is>
      </c>
      <c r="U8" s="1" t="inlineStr">
        <is>
          <t>mm</t>
        </is>
      </c>
      <c r="V8" t="inlineStr">
        <is>
          <t>dc8bd303-387b-4c22-adf9-02784cc96218</t>
        </is>
      </c>
      <c r="W8" s="77" t="inlineStr">
        <is>
          <t>S2</t>
        </is>
      </c>
      <c r="X8" s="1" t="inlineStr">
        <is>
          <t>50</t>
        </is>
      </c>
      <c r="Y8" s="1" t="inlineStr">
        <is>
          <t>mm</t>
        </is>
      </c>
      <c r="Z8" s="1" t="inlineStr">
        <is>
          <t>60.32</t>
        </is>
      </c>
      <c r="AA8" s="1" t="inlineStr">
        <is>
          <t>BV</t>
        </is>
      </c>
      <c r="AF8" s="1" t="inlineStr">
        <is>
          <t>150</t>
        </is>
      </c>
      <c r="AH8" s="1" t="inlineStr">
        <is>
          <t>0</t>
        </is>
      </c>
      <c r="AI8" s="1" t="inlineStr">
        <is>
          <t>0</t>
        </is>
      </c>
      <c r="AJ8" s="1" t="inlineStr">
        <is>
          <t>mm</t>
        </is>
      </c>
      <c r="AK8" s="1" t="inlineStr">
        <is>
          <t>WN_FLRF_CL150</t>
        </is>
      </c>
      <c r="AN8" s="1" t="inlineStr">
        <is>
          <t xml:space="preserve">Flange. WN CL150 RF smooth (3.2-6.3 um) CS ASTM A105N Dims to ASME B16.5 </t>
        </is>
      </c>
      <c r="AO8" s="1">
        <f>REPLACE(AN8, 11, 0, " DN" &amp; E8)</f>
        <v/>
      </c>
      <c r="AP8" s="1" t="inlineStr">
        <is>
          <t>CS</t>
        </is>
      </c>
      <c r="AV8" t="inlineStr">
        <is>
          <t>c17052bd-a37c-4ad6-9f9d-a99a8c57f8b5</t>
        </is>
      </c>
      <c r="BB8" t="inlineStr">
        <is>
          <t>2</t>
        </is>
      </c>
      <c r="BD8" t="inlineStr">
        <is>
          <t>Flanges</t>
        </is>
      </c>
      <c r="BH8" t="inlineStr">
        <is>
          <t>Flange</t>
        </is>
      </c>
    </row>
    <row r="9">
      <c r="B9" s="1" t="inlineStr">
        <is>
          <t>65</t>
        </is>
      </c>
      <c r="C9" s="1" t="inlineStr">
        <is>
          <t>CUST_WN_FLRF_CL150</t>
        </is>
      </c>
      <c r="D9" s="1" t="inlineStr">
        <is>
          <t>C:\AutoCAD Plant 3D 2026 Content\CPak Common\CustomScripts\CUST_WN_FLRF_CL150.py</t>
        </is>
      </c>
      <c r="E9" s="1" t="inlineStr">
        <is>
          <t>65</t>
        </is>
      </c>
      <c r="F9" t="inlineStr">
        <is>
          <t>DN</t>
        </is>
      </c>
      <c r="G9" t="inlineStr">
        <is>
          <t>fe8dd3a3-086f-4c8f-86c2-d4228bffcaaa</t>
        </is>
      </c>
      <c r="H9" s="77" t="inlineStr">
        <is>
          <t>S1</t>
        </is>
      </c>
      <c r="I9" s="1" t="inlineStr">
        <is>
          <t>65</t>
        </is>
      </c>
      <c r="J9" s="1" t="inlineStr">
        <is>
          <t>mm</t>
        </is>
      </c>
      <c r="K9" s="1" t="inlineStr">
        <is>
          <t>73.03</t>
        </is>
      </c>
      <c r="L9" s="1" t="inlineStr">
        <is>
          <t>FL</t>
        </is>
      </c>
      <c r="O9" t="inlineStr">
        <is>
          <t>RF</t>
        </is>
      </c>
      <c r="Q9" s="1" t="inlineStr">
        <is>
          <t>150</t>
        </is>
      </c>
      <c r="S9" s="1" t="inlineStr">
        <is>
          <t>0</t>
        </is>
      </c>
      <c r="T9" s="1" t="inlineStr">
        <is>
          <t>0</t>
        </is>
      </c>
      <c r="U9" s="1" t="inlineStr">
        <is>
          <t>mm</t>
        </is>
      </c>
      <c r="V9" t="inlineStr">
        <is>
          <t>9b81b670-9e99-46db-af08-233d7f646f7b</t>
        </is>
      </c>
      <c r="W9" s="77" t="inlineStr">
        <is>
          <t>S2</t>
        </is>
      </c>
      <c r="X9" s="1" t="inlineStr">
        <is>
          <t>65</t>
        </is>
      </c>
      <c r="Y9" s="1" t="inlineStr">
        <is>
          <t>mm</t>
        </is>
      </c>
      <c r="Z9" s="1" t="inlineStr">
        <is>
          <t>73.03</t>
        </is>
      </c>
      <c r="AA9" s="1" t="inlineStr">
        <is>
          <t>BV</t>
        </is>
      </c>
      <c r="AF9" s="1" t="inlineStr">
        <is>
          <t>150</t>
        </is>
      </c>
      <c r="AH9" s="1" t="inlineStr">
        <is>
          <t>0</t>
        </is>
      </c>
      <c r="AI9" s="1" t="inlineStr">
        <is>
          <t>0</t>
        </is>
      </c>
      <c r="AJ9" s="1" t="inlineStr">
        <is>
          <t>mm</t>
        </is>
      </c>
      <c r="AK9" s="1" t="inlineStr">
        <is>
          <t>WN_FLRF_CL150</t>
        </is>
      </c>
      <c r="AN9" s="1" t="inlineStr">
        <is>
          <t xml:space="preserve">Flange. WN CL150 RF smooth (3.2-6.3 um) CS ASTM A105N Dims to ASME B16.5 </t>
        </is>
      </c>
      <c r="AO9" s="1">
        <f>REPLACE(AN9, 11, 0, " DN" &amp; E9)</f>
        <v/>
      </c>
      <c r="AP9" s="1" t="inlineStr">
        <is>
          <t>CS</t>
        </is>
      </c>
      <c r="AV9" t="inlineStr">
        <is>
          <t>c17052bd-a37c-4ad6-9f9d-a99a8c57f8b5</t>
        </is>
      </c>
      <c r="BB9" t="inlineStr">
        <is>
          <t>2</t>
        </is>
      </c>
      <c r="BD9" t="inlineStr">
        <is>
          <t>Flanges</t>
        </is>
      </c>
      <c r="BH9" t="inlineStr">
        <is>
          <t>Flange</t>
        </is>
      </c>
    </row>
    <row r="10">
      <c r="B10" s="1" t="inlineStr">
        <is>
          <t>80</t>
        </is>
      </c>
      <c r="C10" s="1" t="inlineStr">
        <is>
          <t>CUST_WN_FLRF_CL150</t>
        </is>
      </c>
      <c r="D10" s="1" t="inlineStr">
        <is>
          <t>C:\AutoCAD Plant 3D 2026 Content\CPak Common\CustomScripts\CUST_WN_FLRF_CL150.py</t>
        </is>
      </c>
      <c r="E10" s="1" t="inlineStr">
        <is>
          <t>80</t>
        </is>
      </c>
      <c r="F10" t="inlineStr">
        <is>
          <t>DN</t>
        </is>
      </c>
      <c r="G10" t="inlineStr">
        <is>
          <t>ba3b59f9-d7a5-43a2-ad92-b801dc9196a7</t>
        </is>
      </c>
      <c r="H10" s="77" t="inlineStr">
        <is>
          <t>S1</t>
        </is>
      </c>
      <c r="I10" s="1" t="inlineStr">
        <is>
          <t>80</t>
        </is>
      </c>
      <c r="J10" s="1" t="inlineStr">
        <is>
          <t>mm</t>
        </is>
      </c>
      <c r="K10" s="1" t="inlineStr">
        <is>
          <t>88.9</t>
        </is>
      </c>
      <c r="L10" s="1" t="inlineStr">
        <is>
          <t>FL</t>
        </is>
      </c>
      <c r="O10" t="inlineStr">
        <is>
          <t>RF</t>
        </is>
      </c>
      <c r="Q10" s="1" t="inlineStr">
        <is>
          <t>150</t>
        </is>
      </c>
      <c r="S10" s="1" t="inlineStr">
        <is>
          <t>0</t>
        </is>
      </c>
      <c r="T10" s="1" t="inlineStr">
        <is>
          <t>0</t>
        </is>
      </c>
      <c r="U10" s="1" t="inlineStr">
        <is>
          <t>mm</t>
        </is>
      </c>
      <c r="V10" t="inlineStr">
        <is>
          <t>86dfbef3-d023-42de-a5d2-dc2de8a42162</t>
        </is>
      </c>
      <c r="W10" s="77" t="inlineStr">
        <is>
          <t>S2</t>
        </is>
      </c>
      <c r="X10" s="1" t="inlineStr">
        <is>
          <t>80</t>
        </is>
      </c>
      <c r="Y10" s="1" t="inlineStr">
        <is>
          <t>mm</t>
        </is>
      </c>
      <c r="Z10" s="1" t="inlineStr">
        <is>
          <t>88.9</t>
        </is>
      </c>
      <c r="AA10" s="1" t="inlineStr">
        <is>
          <t>BV</t>
        </is>
      </c>
      <c r="AF10" s="1" t="inlineStr">
        <is>
          <t>150</t>
        </is>
      </c>
      <c r="AH10" s="1" t="inlineStr">
        <is>
          <t>0</t>
        </is>
      </c>
      <c r="AI10" s="1" t="inlineStr">
        <is>
          <t>0</t>
        </is>
      </c>
      <c r="AJ10" s="1" t="inlineStr">
        <is>
          <t>mm</t>
        </is>
      </c>
      <c r="AK10" s="1" t="inlineStr">
        <is>
          <t>WN_FLRF_CL150</t>
        </is>
      </c>
      <c r="AN10" s="1" t="inlineStr">
        <is>
          <t xml:space="preserve">Flange. WN CL150 RF smooth (3.2-6.3 um) CS ASTM A105N Dims to ASME B16.5 </t>
        </is>
      </c>
      <c r="AO10" s="1">
        <f>REPLACE(AN10, 11, 0, " DN" &amp; E10)</f>
        <v/>
      </c>
      <c r="AP10" s="1" t="inlineStr">
        <is>
          <t>CS</t>
        </is>
      </c>
      <c r="AV10" t="inlineStr">
        <is>
          <t>c17052bd-a37c-4ad6-9f9d-a99a8c57f8b5</t>
        </is>
      </c>
      <c r="BB10" t="inlineStr">
        <is>
          <t>2</t>
        </is>
      </c>
      <c r="BD10" t="inlineStr">
        <is>
          <t>Flanges</t>
        </is>
      </c>
      <c r="BH10" t="inlineStr">
        <is>
          <t>Flange</t>
        </is>
      </c>
    </row>
    <row r="11">
      <c r="B11" s="1" t="inlineStr">
        <is>
          <t>90</t>
        </is>
      </c>
      <c r="C11" s="1" t="inlineStr">
        <is>
          <t>CUST_WN_FLRF_CL150</t>
        </is>
      </c>
      <c r="D11" s="1" t="inlineStr">
        <is>
          <t>C:\AutoCAD Plant 3D 2026 Content\CPak Common\CustomScripts\CUST_WN_FLRF_CL150.py</t>
        </is>
      </c>
      <c r="E11" s="1" t="inlineStr">
        <is>
          <t>90</t>
        </is>
      </c>
      <c r="F11" t="inlineStr">
        <is>
          <t>DN</t>
        </is>
      </c>
      <c r="G11" t="inlineStr">
        <is>
          <t>5380fe53-e050-4490-a08f-cc9808cd7971</t>
        </is>
      </c>
      <c r="H11" s="77" t="inlineStr">
        <is>
          <t>S1</t>
        </is>
      </c>
      <c r="I11" s="1" t="inlineStr">
        <is>
          <t>90</t>
        </is>
      </c>
      <c r="J11" s="1" t="inlineStr">
        <is>
          <t>mm</t>
        </is>
      </c>
      <c r="K11" s="1" t="inlineStr">
        <is>
          <t>90</t>
        </is>
      </c>
      <c r="L11" s="1" t="inlineStr">
        <is>
          <t>FL</t>
        </is>
      </c>
      <c r="O11" t="inlineStr">
        <is>
          <t>RF</t>
        </is>
      </c>
      <c r="Q11" s="1" t="inlineStr">
        <is>
          <t>150</t>
        </is>
      </c>
      <c r="S11" s="1" t="inlineStr">
        <is>
          <t>0</t>
        </is>
      </c>
      <c r="T11" s="1" t="inlineStr">
        <is>
          <t>0</t>
        </is>
      </c>
      <c r="U11" s="1" t="inlineStr">
        <is>
          <t>mm</t>
        </is>
      </c>
      <c r="V11" t="inlineStr">
        <is>
          <t>52e33ae9-8184-4f4d-97b7-e53e3ff1060c</t>
        </is>
      </c>
      <c r="W11" s="77" t="inlineStr">
        <is>
          <t>S2</t>
        </is>
      </c>
      <c r="X11" s="1" t="inlineStr">
        <is>
          <t>90</t>
        </is>
      </c>
      <c r="Y11" s="1" t="inlineStr">
        <is>
          <t>mm</t>
        </is>
      </c>
      <c r="Z11" s="1" t="inlineStr">
        <is>
          <t>90</t>
        </is>
      </c>
      <c r="AA11" s="1" t="inlineStr">
        <is>
          <t>BV</t>
        </is>
      </c>
      <c r="AF11" s="1" t="inlineStr">
        <is>
          <t>150</t>
        </is>
      </c>
      <c r="AH11" s="1" t="inlineStr">
        <is>
          <t>0</t>
        </is>
      </c>
      <c r="AI11" s="1" t="inlineStr">
        <is>
          <t>0</t>
        </is>
      </c>
      <c r="AJ11" s="1" t="inlineStr">
        <is>
          <t>mm</t>
        </is>
      </c>
      <c r="AK11" s="1" t="inlineStr">
        <is>
          <t>WN_FLRF_CL150</t>
        </is>
      </c>
      <c r="AN11" s="1" t="inlineStr">
        <is>
          <t xml:space="preserve">Flange. WN CL150 RF smooth (3.2-6.3 um) CS ASTM A105N Dims to ASME B16.5 </t>
        </is>
      </c>
      <c r="AO11" s="1">
        <f>REPLACE(AN11, 11, 0, " DN" &amp; E11)</f>
        <v/>
      </c>
      <c r="AP11" s="1" t="inlineStr">
        <is>
          <t>CS</t>
        </is>
      </c>
      <c r="AV11" t="inlineStr">
        <is>
          <t>c17052bd-a37c-4ad6-9f9d-a99a8c57f8b5</t>
        </is>
      </c>
      <c r="BB11" t="inlineStr">
        <is>
          <t>2</t>
        </is>
      </c>
      <c r="BD11" t="inlineStr">
        <is>
          <t>Flanges</t>
        </is>
      </c>
      <c r="BH11" t="inlineStr">
        <is>
          <t>Flange</t>
        </is>
      </c>
    </row>
    <row r="12">
      <c r="B12" s="1" t="inlineStr">
        <is>
          <t>100</t>
        </is>
      </c>
      <c r="C12" s="1" t="inlineStr">
        <is>
          <t>CUST_WN_FLRF_CL150</t>
        </is>
      </c>
      <c r="D12" s="1" t="inlineStr">
        <is>
          <t>C:\AutoCAD Plant 3D 2026 Content\CPak Common\CustomScripts\CUST_WN_FLRF_CL150.py</t>
        </is>
      </c>
      <c r="E12" s="1" t="inlineStr">
        <is>
          <t>100</t>
        </is>
      </c>
      <c r="F12" t="inlineStr">
        <is>
          <t>DN</t>
        </is>
      </c>
      <c r="G12" t="inlineStr">
        <is>
          <t>3e84edb5-448c-4eb6-8728-60bdde2f33b7</t>
        </is>
      </c>
      <c r="H12" s="77" t="inlineStr">
        <is>
          <t>S1</t>
        </is>
      </c>
      <c r="I12" s="1" t="inlineStr">
        <is>
          <t>100</t>
        </is>
      </c>
      <c r="J12" s="1" t="inlineStr">
        <is>
          <t>mm</t>
        </is>
      </c>
      <c r="K12" s="1" t="inlineStr">
        <is>
          <t>114.3</t>
        </is>
      </c>
      <c r="L12" s="1" t="inlineStr">
        <is>
          <t>FL</t>
        </is>
      </c>
      <c r="O12" t="inlineStr">
        <is>
          <t>RF</t>
        </is>
      </c>
      <c r="Q12" s="1" t="inlineStr">
        <is>
          <t>150</t>
        </is>
      </c>
      <c r="S12" s="1" t="inlineStr">
        <is>
          <t>0</t>
        </is>
      </c>
      <c r="T12" s="1" t="inlineStr">
        <is>
          <t>0</t>
        </is>
      </c>
      <c r="U12" s="1" t="inlineStr">
        <is>
          <t>mm</t>
        </is>
      </c>
      <c r="V12" t="inlineStr">
        <is>
          <t>a54e3e50-8c94-4b86-b494-284a797cd1be</t>
        </is>
      </c>
      <c r="W12" s="77" t="inlineStr">
        <is>
          <t>S2</t>
        </is>
      </c>
      <c r="X12" s="1" t="inlineStr">
        <is>
          <t>100</t>
        </is>
      </c>
      <c r="Y12" s="1" t="inlineStr">
        <is>
          <t>mm</t>
        </is>
      </c>
      <c r="Z12" s="1" t="inlineStr">
        <is>
          <t>114.3</t>
        </is>
      </c>
      <c r="AA12" s="1" t="inlineStr">
        <is>
          <t>BV</t>
        </is>
      </c>
      <c r="AF12" s="1" t="inlineStr">
        <is>
          <t>150</t>
        </is>
      </c>
      <c r="AH12" s="1" t="inlineStr">
        <is>
          <t>0</t>
        </is>
      </c>
      <c r="AI12" s="1" t="inlineStr">
        <is>
          <t>0</t>
        </is>
      </c>
      <c r="AJ12" s="1" t="inlineStr">
        <is>
          <t>mm</t>
        </is>
      </c>
      <c r="AK12" s="1" t="inlineStr">
        <is>
          <t>WN_FLRF_CL150</t>
        </is>
      </c>
      <c r="AN12" s="1" t="inlineStr">
        <is>
          <t xml:space="preserve">Flange. WN CL150 RF smooth (3.2-6.3 um) CS ASTM A105N Dims to ASME B16.5 </t>
        </is>
      </c>
      <c r="AO12" s="1">
        <f>REPLACE(AN12, 11, 0, " DN" &amp; E12)</f>
        <v/>
      </c>
      <c r="AP12" s="1" t="inlineStr">
        <is>
          <t>CS</t>
        </is>
      </c>
      <c r="AV12" t="inlineStr">
        <is>
          <t>c17052bd-a37c-4ad6-9f9d-a99a8c57f8b5</t>
        </is>
      </c>
      <c r="BB12" t="inlineStr">
        <is>
          <t>2</t>
        </is>
      </c>
      <c r="BD12" t="inlineStr">
        <is>
          <t>Flanges</t>
        </is>
      </c>
      <c r="BH12" t="inlineStr">
        <is>
          <t>Flange</t>
        </is>
      </c>
    </row>
    <row r="13">
      <c r="B13" s="1" t="inlineStr">
        <is>
          <t>125</t>
        </is>
      </c>
      <c r="C13" s="1" t="inlineStr">
        <is>
          <t>CUST_WN_FLRF_CL150</t>
        </is>
      </c>
      <c r="D13" s="1" t="inlineStr">
        <is>
          <t>C:\AutoCAD Plant 3D 2026 Content\CPak Common\CustomScripts\CUST_WN_FLRF_CL150.py</t>
        </is>
      </c>
      <c r="E13" s="1" t="inlineStr">
        <is>
          <t>125</t>
        </is>
      </c>
      <c r="F13" t="inlineStr">
        <is>
          <t>DN</t>
        </is>
      </c>
      <c r="G13" t="inlineStr">
        <is>
          <t>306c5054-87d8-419c-b920-a9590026da87</t>
        </is>
      </c>
      <c r="H13" s="77" t="inlineStr">
        <is>
          <t>S1</t>
        </is>
      </c>
      <c r="I13" s="1" t="inlineStr">
        <is>
          <t>125</t>
        </is>
      </c>
      <c r="J13" s="1" t="inlineStr">
        <is>
          <t>mm</t>
        </is>
      </c>
      <c r="K13" s="1" t="inlineStr">
        <is>
          <t>125</t>
        </is>
      </c>
      <c r="L13" s="1" t="inlineStr">
        <is>
          <t>FL</t>
        </is>
      </c>
      <c r="O13" t="inlineStr">
        <is>
          <t>RF</t>
        </is>
      </c>
      <c r="Q13" s="1" t="inlineStr">
        <is>
          <t>150</t>
        </is>
      </c>
      <c r="S13" s="1" t="inlineStr">
        <is>
          <t>0</t>
        </is>
      </c>
      <c r="T13" s="1" t="inlineStr">
        <is>
          <t>0</t>
        </is>
      </c>
      <c r="U13" s="1" t="inlineStr">
        <is>
          <t>mm</t>
        </is>
      </c>
      <c r="V13" t="inlineStr">
        <is>
          <t>6e527059-b1d4-4a3b-b314-7fcc694e9a3b</t>
        </is>
      </c>
      <c r="W13" s="77" t="inlineStr">
        <is>
          <t>S2</t>
        </is>
      </c>
      <c r="X13" s="1" t="inlineStr">
        <is>
          <t>125</t>
        </is>
      </c>
      <c r="Y13" s="1" t="inlineStr">
        <is>
          <t>mm</t>
        </is>
      </c>
      <c r="Z13" s="1" t="inlineStr">
        <is>
          <t>125</t>
        </is>
      </c>
      <c r="AA13" s="1" t="inlineStr">
        <is>
          <t>BV</t>
        </is>
      </c>
      <c r="AF13" s="1" t="inlineStr">
        <is>
          <t>150</t>
        </is>
      </c>
      <c r="AH13" s="1" t="inlineStr">
        <is>
          <t>0</t>
        </is>
      </c>
      <c r="AI13" s="1" t="inlineStr">
        <is>
          <t>0</t>
        </is>
      </c>
      <c r="AJ13" s="1" t="inlineStr">
        <is>
          <t>mm</t>
        </is>
      </c>
      <c r="AK13" s="1" t="inlineStr">
        <is>
          <t>WN_FLRF_CL150</t>
        </is>
      </c>
      <c r="AN13" s="1" t="inlineStr">
        <is>
          <t xml:space="preserve">Flange. WN CL150 RF smooth (3.2-6.3 um) CS ASTM A105N Dims to ASME B16.5 </t>
        </is>
      </c>
      <c r="AO13" s="1">
        <f>REPLACE(AN13, 11, 0, " DN" &amp; E13)</f>
        <v/>
      </c>
      <c r="AP13" s="1" t="inlineStr">
        <is>
          <t>CS</t>
        </is>
      </c>
      <c r="AV13" t="inlineStr">
        <is>
          <t>c17052bd-a37c-4ad6-9f9d-a99a8c57f8b5</t>
        </is>
      </c>
      <c r="BB13" t="inlineStr">
        <is>
          <t>2</t>
        </is>
      </c>
      <c r="BD13" t="inlineStr">
        <is>
          <t>Flanges</t>
        </is>
      </c>
      <c r="BH13" t="inlineStr">
        <is>
          <t>Flange</t>
        </is>
      </c>
    </row>
    <row r="14">
      <c r="B14" s="1" t="inlineStr">
        <is>
          <t>150</t>
        </is>
      </c>
      <c r="C14" s="1" t="inlineStr">
        <is>
          <t>CUST_WN_FLRF_CL150</t>
        </is>
      </c>
      <c r="D14" s="1" t="inlineStr">
        <is>
          <t>C:\AutoCAD Plant 3D 2026 Content\CPak Common\CustomScripts\CUST_WN_FLRF_CL150.py</t>
        </is>
      </c>
      <c r="E14" s="1" t="inlineStr">
        <is>
          <t>150</t>
        </is>
      </c>
      <c r="F14" t="inlineStr">
        <is>
          <t>DN</t>
        </is>
      </c>
      <c r="G14" t="inlineStr">
        <is>
          <t>0593e705-1a76-4736-9269-78670843d30f</t>
        </is>
      </c>
      <c r="H14" s="77" t="inlineStr">
        <is>
          <t>S1</t>
        </is>
      </c>
      <c r="I14" s="1" t="inlineStr">
        <is>
          <t>150</t>
        </is>
      </c>
      <c r="J14" s="1" t="inlineStr">
        <is>
          <t>mm</t>
        </is>
      </c>
      <c r="K14" s="1" t="inlineStr">
        <is>
          <t>168.3</t>
        </is>
      </c>
      <c r="L14" s="1" t="inlineStr">
        <is>
          <t>FL</t>
        </is>
      </c>
      <c r="O14" t="inlineStr">
        <is>
          <t>RF</t>
        </is>
      </c>
      <c r="Q14" s="1" t="inlineStr">
        <is>
          <t>150</t>
        </is>
      </c>
      <c r="S14" s="1" t="inlineStr">
        <is>
          <t>0</t>
        </is>
      </c>
      <c r="T14" s="1" t="inlineStr">
        <is>
          <t>0</t>
        </is>
      </c>
      <c r="U14" s="1" t="inlineStr">
        <is>
          <t>mm</t>
        </is>
      </c>
      <c r="V14" t="inlineStr">
        <is>
          <t>733f03c0-a49f-45c8-af9e-c7b3d9b11ef1</t>
        </is>
      </c>
      <c r="W14" s="77" t="inlineStr">
        <is>
          <t>S2</t>
        </is>
      </c>
      <c r="X14" s="1" t="inlineStr">
        <is>
          <t>150</t>
        </is>
      </c>
      <c r="Y14" s="1" t="inlineStr">
        <is>
          <t>mm</t>
        </is>
      </c>
      <c r="Z14" s="1" t="inlineStr">
        <is>
          <t>168.3</t>
        </is>
      </c>
      <c r="AA14" s="1" t="inlineStr">
        <is>
          <t>BV</t>
        </is>
      </c>
      <c r="AF14" s="1" t="inlineStr">
        <is>
          <t>150</t>
        </is>
      </c>
      <c r="AH14" s="1" t="inlineStr">
        <is>
          <t>0</t>
        </is>
      </c>
      <c r="AI14" s="1" t="inlineStr">
        <is>
          <t>0</t>
        </is>
      </c>
      <c r="AJ14" s="1" t="inlineStr">
        <is>
          <t>mm</t>
        </is>
      </c>
      <c r="AK14" s="1" t="inlineStr">
        <is>
          <t>WN_FLRF_CL150</t>
        </is>
      </c>
      <c r="AN14" s="1" t="inlineStr">
        <is>
          <t xml:space="preserve">Flange. WN CL150 RF smooth (3.2-6.3 um) CS ASTM A105N Dims to ASME B16.5 </t>
        </is>
      </c>
      <c r="AO14" s="1">
        <f>REPLACE(AN14, 11, 0, " DN" &amp; E14)</f>
        <v/>
      </c>
      <c r="AP14" s="1" t="inlineStr">
        <is>
          <t>CS</t>
        </is>
      </c>
      <c r="AV14" t="inlineStr">
        <is>
          <t>c17052bd-a37c-4ad6-9f9d-a99a8c57f8b5</t>
        </is>
      </c>
      <c r="BB14" t="inlineStr">
        <is>
          <t>2</t>
        </is>
      </c>
      <c r="BD14" t="inlineStr">
        <is>
          <t>Flanges</t>
        </is>
      </c>
      <c r="BH14" t="inlineStr">
        <is>
          <t>Flange</t>
        </is>
      </c>
    </row>
    <row r="15">
      <c r="B15" s="1" t="inlineStr">
        <is>
          <t>200</t>
        </is>
      </c>
      <c r="C15" s="1" t="inlineStr">
        <is>
          <t>CUST_WN_FLRF_CL150</t>
        </is>
      </c>
      <c r="D15" s="1" t="inlineStr">
        <is>
          <t>C:\AutoCAD Plant 3D 2026 Content\CPak Common\CustomScripts\CUST_WN_FLRF_CL150.py</t>
        </is>
      </c>
      <c r="E15" s="1" t="inlineStr">
        <is>
          <t>200</t>
        </is>
      </c>
      <c r="F15" t="inlineStr">
        <is>
          <t>DN</t>
        </is>
      </c>
      <c r="G15" t="inlineStr">
        <is>
          <t>ec1eced7-be75-4240-b79b-d560366c1f9b</t>
        </is>
      </c>
      <c r="H15" s="77" t="inlineStr">
        <is>
          <t>S1</t>
        </is>
      </c>
      <c r="I15" s="1" t="inlineStr">
        <is>
          <t>200</t>
        </is>
      </c>
      <c r="J15" s="1" t="inlineStr">
        <is>
          <t>mm</t>
        </is>
      </c>
      <c r="K15" s="1" t="inlineStr">
        <is>
          <t>219.1</t>
        </is>
      </c>
      <c r="L15" s="1" t="inlineStr">
        <is>
          <t>FL</t>
        </is>
      </c>
      <c r="O15" t="inlineStr">
        <is>
          <t>RF</t>
        </is>
      </c>
      <c r="Q15" s="1" t="inlineStr">
        <is>
          <t>150</t>
        </is>
      </c>
      <c r="S15" s="1" t="inlineStr">
        <is>
          <t>0</t>
        </is>
      </c>
      <c r="T15" s="1" t="inlineStr">
        <is>
          <t>0</t>
        </is>
      </c>
      <c r="U15" s="1" t="inlineStr">
        <is>
          <t>mm</t>
        </is>
      </c>
      <c r="V15" t="inlineStr">
        <is>
          <t>1d8fd1b1-c0a2-401e-825c-d6692ee32b87</t>
        </is>
      </c>
      <c r="W15" s="77" t="inlineStr">
        <is>
          <t>S2</t>
        </is>
      </c>
      <c r="X15" s="1" t="inlineStr">
        <is>
          <t>200</t>
        </is>
      </c>
      <c r="Y15" s="1" t="inlineStr">
        <is>
          <t>mm</t>
        </is>
      </c>
      <c r="Z15" s="1" t="inlineStr">
        <is>
          <t>219.1</t>
        </is>
      </c>
      <c r="AA15" s="1" t="inlineStr">
        <is>
          <t>BV</t>
        </is>
      </c>
      <c r="AF15" s="1" t="inlineStr">
        <is>
          <t>150</t>
        </is>
      </c>
      <c r="AH15" s="1" t="inlineStr">
        <is>
          <t>0</t>
        </is>
      </c>
      <c r="AI15" s="1" t="inlineStr">
        <is>
          <t>0</t>
        </is>
      </c>
      <c r="AJ15" s="1" t="inlineStr">
        <is>
          <t>mm</t>
        </is>
      </c>
      <c r="AK15" s="1" t="inlineStr">
        <is>
          <t>WN_FLRF_CL150</t>
        </is>
      </c>
      <c r="AN15" s="1" t="inlineStr">
        <is>
          <t xml:space="preserve">Flange. WN CL150 RF smooth (3.2-6.3 um) CS ASTM A105N Dims to ASME B16.5 </t>
        </is>
      </c>
      <c r="AO15" s="1">
        <f>REPLACE(AN15, 11, 0, " DN" &amp; E15)</f>
        <v/>
      </c>
      <c r="AP15" s="1" t="inlineStr">
        <is>
          <t>CS</t>
        </is>
      </c>
      <c r="AV15" t="inlineStr">
        <is>
          <t>c17052bd-a37c-4ad6-9f9d-a99a8c57f8b5</t>
        </is>
      </c>
      <c r="BB15" t="inlineStr">
        <is>
          <t>2</t>
        </is>
      </c>
      <c r="BD15" t="inlineStr">
        <is>
          <t>Flanges</t>
        </is>
      </c>
      <c r="BH15" t="inlineStr">
        <is>
          <t>Flange</t>
        </is>
      </c>
    </row>
    <row r="16">
      <c r="B16" s="1" t="inlineStr">
        <is>
          <t>250</t>
        </is>
      </c>
      <c r="C16" s="1" t="inlineStr">
        <is>
          <t>CUST_WN_FLRF_CL150</t>
        </is>
      </c>
      <c r="D16" s="1" t="inlineStr">
        <is>
          <t>C:\AutoCAD Plant 3D 2026 Content\CPak Common\CustomScripts\CUST_WN_FLRF_CL150.py</t>
        </is>
      </c>
      <c r="E16" s="1" t="inlineStr">
        <is>
          <t>250</t>
        </is>
      </c>
      <c r="F16" t="inlineStr">
        <is>
          <t>DN</t>
        </is>
      </c>
      <c r="G16" t="inlineStr">
        <is>
          <t>24b917e3-f4a0-44ee-b8fe-0d157b11129d</t>
        </is>
      </c>
      <c r="H16" s="77" t="inlineStr">
        <is>
          <t>S1</t>
        </is>
      </c>
      <c r="I16" s="1" t="inlineStr">
        <is>
          <t>250</t>
        </is>
      </c>
      <c r="J16" s="1" t="inlineStr">
        <is>
          <t>mm</t>
        </is>
      </c>
      <c r="K16" s="1" t="inlineStr">
        <is>
          <t>273.1</t>
        </is>
      </c>
      <c r="L16" s="1" t="inlineStr">
        <is>
          <t>FL</t>
        </is>
      </c>
      <c r="O16" t="inlineStr">
        <is>
          <t>RF</t>
        </is>
      </c>
      <c r="Q16" s="1" t="inlineStr">
        <is>
          <t>150</t>
        </is>
      </c>
      <c r="S16" s="1" t="inlineStr">
        <is>
          <t>0</t>
        </is>
      </c>
      <c r="T16" s="1" t="inlineStr">
        <is>
          <t>0</t>
        </is>
      </c>
      <c r="U16" s="1" t="inlineStr">
        <is>
          <t>mm</t>
        </is>
      </c>
      <c r="V16" t="inlineStr">
        <is>
          <t>9f33b23f-936f-40c7-9d3e-04539dbdf943</t>
        </is>
      </c>
      <c r="W16" s="77" t="inlineStr">
        <is>
          <t>S2</t>
        </is>
      </c>
      <c r="X16" s="1" t="inlineStr">
        <is>
          <t>250</t>
        </is>
      </c>
      <c r="Y16" s="1" t="inlineStr">
        <is>
          <t>mm</t>
        </is>
      </c>
      <c r="Z16" s="1" t="inlineStr">
        <is>
          <t>273.1</t>
        </is>
      </c>
      <c r="AA16" s="1" t="inlineStr">
        <is>
          <t>BV</t>
        </is>
      </c>
      <c r="AF16" s="1" t="inlineStr">
        <is>
          <t>150</t>
        </is>
      </c>
      <c r="AH16" s="1" t="inlineStr">
        <is>
          <t>0</t>
        </is>
      </c>
      <c r="AI16" s="1" t="inlineStr">
        <is>
          <t>0</t>
        </is>
      </c>
      <c r="AJ16" s="1" t="inlineStr">
        <is>
          <t>mm</t>
        </is>
      </c>
      <c r="AK16" s="1" t="inlineStr">
        <is>
          <t>WN_FLRF_CL150</t>
        </is>
      </c>
      <c r="AN16" s="1" t="inlineStr">
        <is>
          <t xml:space="preserve">Flange. WN CL150 RF smooth (3.2-6.3 um) CS ASTM A105N Dims to ASME B16.5 </t>
        </is>
      </c>
      <c r="AO16" s="1">
        <f>REPLACE(AN16, 11, 0, " DN" &amp; E16)</f>
        <v/>
      </c>
      <c r="AP16" s="1" t="inlineStr">
        <is>
          <t>CS</t>
        </is>
      </c>
      <c r="AV16" t="inlineStr">
        <is>
          <t>c17052bd-a37c-4ad6-9f9d-a99a8c57f8b5</t>
        </is>
      </c>
      <c r="BB16" t="inlineStr">
        <is>
          <t>2</t>
        </is>
      </c>
      <c r="BD16" t="inlineStr">
        <is>
          <t>Flanges</t>
        </is>
      </c>
      <c r="BH16" t="inlineStr">
        <is>
          <t>Flange</t>
        </is>
      </c>
    </row>
    <row r="17">
      <c r="B17" s="1" t="inlineStr">
        <is>
          <t>300</t>
        </is>
      </c>
      <c r="C17" s="1" t="inlineStr">
        <is>
          <t>CUST_WN_FLRF_CL150</t>
        </is>
      </c>
      <c r="D17" s="1" t="inlineStr">
        <is>
          <t>C:\AutoCAD Plant 3D 2026 Content\CPak Common\CustomScripts\CUST_WN_FLRF_CL150.py</t>
        </is>
      </c>
      <c r="E17" s="1" t="inlineStr">
        <is>
          <t>300</t>
        </is>
      </c>
      <c r="F17" t="inlineStr">
        <is>
          <t>DN</t>
        </is>
      </c>
      <c r="G17" t="inlineStr">
        <is>
          <t>b7a03bab-5626-40da-a52e-1fa2ed654243</t>
        </is>
      </c>
      <c r="H17" s="77" t="inlineStr">
        <is>
          <t>S1</t>
        </is>
      </c>
      <c r="I17" s="1" t="inlineStr">
        <is>
          <t>300</t>
        </is>
      </c>
      <c r="J17" s="1" t="inlineStr">
        <is>
          <t>mm</t>
        </is>
      </c>
      <c r="K17" s="1" t="inlineStr">
        <is>
          <t>323.9</t>
        </is>
      </c>
      <c r="L17" s="1" t="inlineStr">
        <is>
          <t>FL</t>
        </is>
      </c>
      <c r="O17" t="inlineStr">
        <is>
          <t>RF</t>
        </is>
      </c>
      <c r="Q17" s="1" t="inlineStr">
        <is>
          <t>150</t>
        </is>
      </c>
      <c r="S17" s="1" t="inlineStr">
        <is>
          <t>0</t>
        </is>
      </c>
      <c r="T17" s="1" t="inlineStr">
        <is>
          <t>0</t>
        </is>
      </c>
      <c r="U17" s="1" t="inlineStr">
        <is>
          <t>mm</t>
        </is>
      </c>
      <c r="V17" t="inlineStr">
        <is>
          <t>47ec9a0d-6b3b-4a69-8140-19fc9744c3e9</t>
        </is>
      </c>
      <c r="W17" s="77" t="inlineStr">
        <is>
          <t>S2</t>
        </is>
      </c>
      <c r="X17" s="1" t="inlineStr">
        <is>
          <t>300</t>
        </is>
      </c>
      <c r="Y17" s="1" t="inlineStr">
        <is>
          <t>mm</t>
        </is>
      </c>
      <c r="Z17" s="1" t="inlineStr">
        <is>
          <t>323.9</t>
        </is>
      </c>
      <c r="AA17" s="1" t="inlineStr">
        <is>
          <t>BV</t>
        </is>
      </c>
      <c r="AF17" s="1" t="inlineStr">
        <is>
          <t>150</t>
        </is>
      </c>
      <c r="AH17" s="1" t="inlineStr">
        <is>
          <t>0</t>
        </is>
      </c>
      <c r="AI17" s="1" t="inlineStr">
        <is>
          <t>0</t>
        </is>
      </c>
      <c r="AJ17" s="1" t="inlineStr">
        <is>
          <t>mm</t>
        </is>
      </c>
      <c r="AK17" s="1" t="inlineStr">
        <is>
          <t>WN_FLRF_CL150</t>
        </is>
      </c>
      <c r="AN17" s="1" t="inlineStr">
        <is>
          <t xml:space="preserve">Flange. WN CL150 RF smooth (3.2-6.3 um) CS ASTM A105N Dims to ASME B16.5 </t>
        </is>
      </c>
      <c r="AO17" s="1">
        <f>REPLACE(AN17, 11, 0, " DN" &amp; E17)</f>
        <v/>
      </c>
      <c r="AP17" s="1" t="inlineStr">
        <is>
          <t>CS</t>
        </is>
      </c>
      <c r="AV17" t="inlineStr">
        <is>
          <t>c17052bd-a37c-4ad6-9f9d-a99a8c57f8b5</t>
        </is>
      </c>
      <c r="BB17" t="inlineStr">
        <is>
          <t>2</t>
        </is>
      </c>
      <c r="BD17" t="inlineStr">
        <is>
          <t>Flanges</t>
        </is>
      </c>
      <c r="BH17" t="inlineStr">
        <is>
          <t>Flange</t>
        </is>
      </c>
    </row>
    <row r="18">
      <c r="B18" s="1" t="inlineStr">
        <is>
          <t>350</t>
        </is>
      </c>
      <c r="C18" s="1" t="inlineStr">
        <is>
          <t>CUST_WN_FLRF_CL150</t>
        </is>
      </c>
      <c r="D18" s="1" t="inlineStr">
        <is>
          <t>C:\AutoCAD Plant 3D 2026 Content\CPak Common\CustomScripts\CUST_WN_FLRF_CL150.py</t>
        </is>
      </c>
      <c r="E18" s="1" t="inlineStr">
        <is>
          <t>350</t>
        </is>
      </c>
      <c r="F18" t="inlineStr">
        <is>
          <t>DN</t>
        </is>
      </c>
      <c r="G18" t="inlineStr">
        <is>
          <t>0d894491-34b5-4500-a0ed-39e47afe9607</t>
        </is>
      </c>
      <c r="H18" s="77" t="inlineStr">
        <is>
          <t>S1</t>
        </is>
      </c>
      <c r="I18" s="1" t="inlineStr">
        <is>
          <t>350</t>
        </is>
      </c>
      <c r="J18" s="1" t="inlineStr">
        <is>
          <t>mm</t>
        </is>
      </c>
      <c r="K18" s="1" t="inlineStr">
        <is>
          <t>355.6</t>
        </is>
      </c>
      <c r="L18" s="1" t="inlineStr">
        <is>
          <t>FL</t>
        </is>
      </c>
      <c r="O18" t="inlineStr">
        <is>
          <t>RF</t>
        </is>
      </c>
      <c r="Q18" s="1" t="inlineStr">
        <is>
          <t>150</t>
        </is>
      </c>
      <c r="S18" s="1" t="inlineStr">
        <is>
          <t>0</t>
        </is>
      </c>
      <c r="T18" s="1" t="inlineStr">
        <is>
          <t>0</t>
        </is>
      </c>
      <c r="U18" s="1" t="inlineStr">
        <is>
          <t>mm</t>
        </is>
      </c>
      <c r="V18" t="inlineStr">
        <is>
          <t>f34ce9d5-1c2c-418e-a1a4-c905f52564e9</t>
        </is>
      </c>
      <c r="W18" s="77" t="inlineStr">
        <is>
          <t>S2</t>
        </is>
      </c>
      <c r="X18" s="1" t="inlineStr">
        <is>
          <t>350</t>
        </is>
      </c>
      <c r="Y18" s="1" t="inlineStr">
        <is>
          <t>mm</t>
        </is>
      </c>
      <c r="Z18" s="1" t="inlineStr">
        <is>
          <t>355.6</t>
        </is>
      </c>
      <c r="AA18" s="1" t="inlineStr">
        <is>
          <t>BV</t>
        </is>
      </c>
      <c r="AF18" s="1" t="inlineStr">
        <is>
          <t>150</t>
        </is>
      </c>
      <c r="AH18" s="1" t="inlineStr">
        <is>
          <t>0</t>
        </is>
      </c>
      <c r="AI18" s="1" t="inlineStr">
        <is>
          <t>0</t>
        </is>
      </c>
      <c r="AJ18" s="1" t="inlineStr">
        <is>
          <t>mm</t>
        </is>
      </c>
      <c r="AK18" s="1" t="inlineStr">
        <is>
          <t>WN_FLRF_CL150</t>
        </is>
      </c>
      <c r="AN18" s="1" t="inlineStr">
        <is>
          <t xml:space="preserve">Flange. WN CL150 RF smooth (3.2-6.3 um) CS ASTM A105N Dims to ASME B16.5 </t>
        </is>
      </c>
      <c r="AO18" s="1">
        <f>REPLACE(AN18, 11, 0, " DN" &amp; E18)</f>
        <v/>
      </c>
      <c r="AP18" s="1" t="inlineStr">
        <is>
          <t>CS</t>
        </is>
      </c>
      <c r="AV18" t="inlineStr">
        <is>
          <t>c17052bd-a37c-4ad6-9f9d-a99a8c57f8b5</t>
        </is>
      </c>
      <c r="BB18" t="inlineStr">
        <is>
          <t>2</t>
        </is>
      </c>
      <c r="BD18" t="inlineStr">
        <is>
          <t>Flanges</t>
        </is>
      </c>
      <c r="BH18" t="inlineStr">
        <is>
          <t>Flange</t>
        </is>
      </c>
    </row>
    <row r="19">
      <c r="B19" s="1" t="inlineStr">
        <is>
          <t>400</t>
        </is>
      </c>
      <c r="C19" s="1" t="inlineStr">
        <is>
          <t>CUST_WN_FLRF_CL150</t>
        </is>
      </c>
      <c r="D19" s="1" t="inlineStr">
        <is>
          <t>C:\AutoCAD Plant 3D 2026 Content\CPak Common\CustomScripts\CUST_WN_FLRF_CL150.py</t>
        </is>
      </c>
      <c r="E19" s="1" t="inlineStr">
        <is>
          <t>400</t>
        </is>
      </c>
      <c r="F19" t="inlineStr">
        <is>
          <t>DN</t>
        </is>
      </c>
      <c r="G19" t="inlineStr">
        <is>
          <t>58510cb9-5945-4c52-b901-7b2dafd8d93b</t>
        </is>
      </c>
      <c r="H19" s="77" t="inlineStr">
        <is>
          <t>S1</t>
        </is>
      </c>
      <c r="I19" s="1" t="inlineStr">
        <is>
          <t>400</t>
        </is>
      </c>
      <c r="J19" s="1" t="inlineStr">
        <is>
          <t>mm</t>
        </is>
      </c>
      <c r="K19" s="1" t="inlineStr">
        <is>
          <t>406.4</t>
        </is>
      </c>
      <c r="L19" s="1" t="inlineStr">
        <is>
          <t>FL</t>
        </is>
      </c>
      <c r="O19" t="inlineStr">
        <is>
          <t>RF</t>
        </is>
      </c>
      <c r="Q19" s="1" t="inlineStr">
        <is>
          <t>150</t>
        </is>
      </c>
      <c r="S19" s="1" t="inlineStr">
        <is>
          <t>0</t>
        </is>
      </c>
      <c r="T19" s="1" t="inlineStr">
        <is>
          <t>0</t>
        </is>
      </c>
      <c r="U19" s="1" t="inlineStr">
        <is>
          <t>mm</t>
        </is>
      </c>
      <c r="V19" t="inlineStr">
        <is>
          <t>31f58f21-8946-4e60-ab99-3c817124d796</t>
        </is>
      </c>
      <c r="W19" s="77" t="inlineStr">
        <is>
          <t>S2</t>
        </is>
      </c>
      <c r="X19" s="1" t="inlineStr">
        <is>
          <t>400</t>
        </is>
      </c>
      <c r="Y19" s="1" t="inlineStr">
        <is>
          <t>mm</t>
        </is>
      </c>
      <c r="Z19" s="1" t="inlineStr">
        <is>
          <t>406.4</t>
        </is>
      </c>
      <c r="AA19" s="1" t="inlineStr">
        <is>
          <t>BV</t>
        </is>
      </c>
      <c r="AF19" s="1" t="inlineStr">
        <is>
          <t>150</t>
        </is>
      </c>
      <c r="AH19" s="1" t="inlineStr">
        <is>
          <t>0</t>
        </is>
      </c>
      <c r="AI19" s="1" t="inlineStr">
        <is>
          <t>0</t>
        </is>
      </c>
      <c r="AJ19" s="1" t="inlineStr">
        <is>
          <t>mm</t>
        </is>
      </c>
      <c r="AK19" s="1" t="inlineStr">
        <is>
          <t>WN_FLRF_CL150</t>
        </is>
      </c>
      <c r="AN19" s="1" t="inlineStr">
        <is>
          <t xml:space="preserve">Flange. WN CL150 RF smooth (3.2-6.3 um) CS ASTM A105N Dims to ASME B16.5 </t>
        </is>
      </c>
      <c r="AO19" s="1">
        <f>REPLACE(AN19, 11, 0, " DN" &amp; E19)</f>
        <v/>
      </c>
      <c r="AP19" s="1" t="inlineStr">
        <is>
          <t>CS</t>
        </is>
      </c>
      <c r="AV19" t="inlineStr">
        <is>
          <t>c17052bd-a37c-4ad6-9f9d-a99a8c57f8b5</t>
        </is>
      </c>
      <c r="BB19" t="inlineStr">
        <is>
          <t>2</t>
        </is>
      </c>
      <c r="BD19" t="inlineStr">
        <is>
          <t>Flanges</t>
        </is>
      </c>
      <c r="BH19" t="inlineStr">
        <is>
          <t>Flange</t>
        </is>
      </c>
    </row>
    <row r="20">
      <c r="B20" s="1" t="inlineStr">
        <is>
          <t>450</t>
        </is>
      </c>
      <c r="C20" s="1" t="inlineStr">
        <is>
          <t>CUST_WN_FLRF_CL150</t>
        </is>
      </c>
      <c r="D20" s="1" t="inlineStr">
        <is>
          <t>C:\AutoCAD Plant 3D 2026 Content\CPak Common\CustomScripts\CUST_WN_FLRF_CL150.py</t>
        </is>
      </c>
      <c r="E20" s="1" t="inlineStr">
        <is>
          <t>450</t>
        </is>
      </c>
      <c r="F20" t="inlineStr">
        <is>
          <t>DN</t>
        </is>
      </c>
      <c r="G20" t="inlineStr">
        <is>
          <t>9897578c-edfa-4ba5-a170-36b06fc5098e</t>
        </is>
      </c>
      <c r="H20" s="77" t="inlineStr">
        <is>
          <t>S1</t>
        </is>
      </c>
      <c r="I20" s="1" t="inlineStr">
        <is>
          <t>450</t>
        </is>
      </c>
      <c r="J20" s="1" t="inlineStr">
        <is>
          <t>mm</t>
        </is>
      </c>
      <c r="K20" s="1" t="inlineStr">
        <is>
          <t>457.2</t>
        </is>
      </c>
      <c r="L20" s="1" t="inlineStr">
        <is>
          <t>FL</t>
        </is>
      </c>
      <c r="O20" t="inlineStr">
        <is>
          <t>RF</t>
        </is>
      </c>
      <c r="Q20" s="1" t="inlineStr">
        <is>
          <t>150</t>
        </is>
      </c>
      <c r="S20" s="1" t="inlineStr">
        <is>
          <t>0</t>
        </is>
      </c>
      <c r="T20" s="1" t="inlineStr">
        <is>
          <t>0</t>
        </is>
      </c>
      <c r="U20" s="1" t="inlineStr">
        <is>
          <t>mm</t>
        </is>
      </c>
      <c r="V20" t="inlineStr">
        <is>
          <t>846f5e60-0f32-4957-b64a-c6525ad22387</t>
        </is>
      </c>
      <c r="W20" s="77" t="inlineStr">
        <is>
          <t>S2</t>
        </is>
      </c>
      <c r="X20" s="1" t="inlineStr">
        <is>
          <t>450</t>
        </is>
      </c>
      <c r="Y20" s="1" t="inlineStr">
        <is>
          <t>mm</t>
        </is>
      </c>
      <c r="Z20" s="1" t="inlineStr">
        <is>
          <t>457.2</t>
        </is>
      </c>
      <c r="AA20" s="1" t="inlineStr">
        <is>
          <t>BV</t>
        </is>
      </c>
      <c r="AF20" s="1" t="inlineStr">
        <is>
          <t>150</t>
        </is>
      </c>
      <c r="AH20" s="1" t="inlineStr">
        <is>
          <t>0</t>
        </is>
      </c>
      <c r="AI20" s="1" t="inlineStr">
        <is>
          <t>0</t>
        </is>
      </c>
      <c r="AJ20" s="1" t="inlineStr">
        <is>
          <t>mm</t>
        </is>
      </c>
      <c r="AK20" s="1" t="inlineStr">
        <is>
          <t>WN_FLRF_CL150</t>
        </is>
      </c>
      <c r="AN20" s="1" t="inlineStr">
        <is>
          <t xml:space="preserve">Flange. WN CL150 RF smooth (3.2-6.3 um) CS ASTM A105N Dims to ASME B16.5 </t>
        </is>
      </c>
      <c r="AO20" s="1">
        <f>REPLACE(AN20, 11, 0, " DN" &amp; E20)</f>
        <v/>
      </c>
      <c r="AP20" s="1" t="inlineStr">
        <is>
          <t>CS</t>
        </is>
      </c>
      <c r="AV20" t="inlineStr">
        <is>
          <t>c17052bd-a37c-4ad6-9f9d-a99a8c57f8b5</t>
        </is>
      </c>
      <c r="BB20" t="inlineStr">
        <is>
          <t>2</t>
        </is>
      </c>
      <c r="BD20" t="inlineStr">
        <is>
          <t>Flanges</t>
        </is>
      </c>
      <c r="BH20" t="inlineStr">
        <is>
          <t>Flange</t>
        </is>
      </c>
    </row>
  </sheetData>
  <sheetProtection selectLockedCells="0" selectUnlockedCells="0" sheet="1" objects="1" insertRows="1" insertHyperlinks="1" autoFilter="1" scenarios="0" formatColumns="0" deleteColumns="0" insertColumns="0" pivotTables="1" deleteRows="1" formatCells="0" formatRows="1" sort="1"/>
  <dataValidations count="2">
    <dataValidation sqref="AS3:AS20" showDropDown="0" showInputMessage="1" showErrorMessage="1" allowBlank="1" errorTitle="" error="" promptTitle="" prompt="" type="list" errorStyle="stop" operator="between">
      <formula1>"LB,KG"</formula1>
    </dataValidation>
    <dataValidation sqref="I3:I20 K3:K20 P3:P20 S3:T20 X3:X20 Z3:Z20 AE3:AE20 AH3:AI20 AR3:AR20 AX3:AX20 BB3:BB20" showDropDown="0" showInputMessage="1" showErrorMessage="1" allowBlank="1" errorTitle="" error="" promptTitle="" prompt="" type="decimal" errorStyle="stop" operator="between">
      <formula1>-5</formula1>
      <formula2>100000</formula2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20"/>
  <sheetViews>
    <sheetView topLeftCell="AJ2" workbookViewId="0">
      <selection activeCell="AP4" sqref="AP4"/>
    </sheetView>
  </sheetViews>
  <sheetFormatPr baseColWidth="8" defaultColWidth="9.139196" defaultRowHeight="15"/>
  <cols>
    <col width="9.140625" customWidth="1" style="1" min="1" max="1"/>
    <col width="5.425781" bestFit="1" customWidth="1" style="1" min="2" max="2"/>
    <col width="20.140625" bestFit="1" customWidth="1" style="1" min="3" max="3"/>
    <col width="108.425781" bestFit="1" customWidth="1" style="1" min="4" max="4"/>
    <col width="3.710938" bestFit="1" customWidth="1" style="1" min="5" max="5"/>
    <col width="6.570312" bestFit="1" customWidth="1" style="1" min="6" max="6"/>
    <col width="32.425781" bestFit="1" customWidth="1" min="7" max="7"/>
    <col width="37.570312" bestFit="1" customWidth="1" min="8" max="8"/>
    <col width="13.140625" bestFit="1" customWidth="1" style="1" min="9" max="9"/>
    <col width="20.140625" bestFit="1" customWidth="1" style="1" min="10" max="10"/>
    <col width="15.570312" bestFit="1" customWidth="1" style="1" min="11" max="11"/>
    <col width="19.140625" bestFit="1" customWidth="1" style="1" min="12" max="12"/>
    <col width="11.570312" bestFit="1" customWidth="1" style="1" min="13" max="13"/>
    <col width="12.710938" bestFit="1" customWidth="1" style="1" min="14" max="14"/>
    <col width="13.140625" bestFit="1" customWidth="1" style="1" min="15" max="15"/>
    <col width="9.570311999999999" bestFit="1" customWidth="1" style="1" min="16" max="16"/>
    <col width="18.710938" bestFit="1" customWidth="1" style="1" min="17" max="17"/>
    <col width="16.285156" bestFit="1" customWidth="1" style="1" min="18" max="18"/>
    <col width="12.140625" bestFit="1" customWidth="1" style="1" min="19" max="19"/>
    <col width="16.855469" bestFit="1" customWidth="1" style="1" min="20" max="20"/>
    <col width="21.425781" bestFit="1" customWidth="1" style="1" min="21" max="21"/>
    <col width="14" bestFit="1" customWidth="1" style="1" min="22" max="22"/>
    <col width="38.140625" bestFit="1" customWidth="1" min="23" max="23"/>
    <col width="13.140625" bestFit="1" customWidth="1" style="1" min="24" max="24"/>
    <col width="20.140625" bestFit="1" customWidth="1" style="1" min="25" max="25"/>
    <col width="15.570312" bestFit="1" customWidth="1" style="1" min="26" max="26"/>
    <col width="19.140625" bestFit="1" customWidth="1" style="1" min="27" max="27"/>
    <col width="11.570312" bestFit="1" customWidth="1" style="1" min="28" max="28"/>
    <col width="12.710938" bestFit="1" customWidth="1" style="1" min="29" max="29"/>
    <col width="13.140625" bestFit="1" customWidth="1" style="1" min="30" max="30"/>
    <col width="9.570311999999999" bestFit="1" customWidth="1" style="1" min="31" max="31"/>
    <col width="18.710938" bestFit="1" customWidth="1" style="1" min="32" max="32"/>
    <col width="16.285156" bestFit="1" customWidth="1" style="1" min="33" max="33"/>
    <col width="12.140625" bestFit="1" customWidth="1" style="1" min="34" max="34"/>
    <col width="16.855469" bestFit="1" customWidth="1" style="1" min="35" max="35"/>
    <col width="21.425781" bestFit="1" customWidth="1" style="1" min="36" max="36"/>
    <col width="14" bestFit="1" customWidth="1" style="1" min="37" max="37"/>
    <col width="16" bestFit="1" customWidth="1" style="1" min="38" max="38"/>
    <col width="19.425781" bestFit="1" customWidth="1" style="1" min="39" max="39"/>
    <col width="9.855468999999999" bestFit="1" customWidth="1" style="1" min="40" max="40"/>
    <col width="78.425781" bestFit="1" customWidth="1" style="1" min="41" max="41"/>
    <col width="83.855469" bestFit="1" customWidth="1" style="1" min="42" max="42"/>
    <col width="8.570311999999999" bestFit="1" customWidth="1" style="1" min="43" max="43"/>
    <col width="13.285156" bestFit="1" customWidth="1" style="1" min="44" max="44"/>
    <col width="7.570312" bestFit="1" customWidth="1" style="1" min="45" max="45"/>
    <col width="11.425781" bestFit="1" customWidth="1" style="1" min="46" max="46"/>
    <col width="5.285156" bestFit="1" customWidth="1" style="1" min="47" max="48"/>
    <col width="36.710938" bestFit="1" customWidth="1" min="49" max="49"/>
    <col width="19" bestFit="1" customWidth="1" min="50" max="50"/>
    <col width="10" bestFit="1" customWidth="1" min="51" max="51"/>
    <col width="13.285156" bestFit="1" customWidth="1" style="1" min="52" max="52"/>
    <col width="9.710938000000001" bestFit="1" customWidth="1" style="1" min="53" max="53"/>
    <col width="20.425781" bestFit="1" customWidth="1" style="1" min="54" max="54"/>
    <col width="20.425781" bestFit="1" customWidth="1" min="55" max="55"/>
    <col width="22.425781" bestFit="1" customWidth="1" style="1" min="56" max="56"/>
    <col width="12.425781" bestFit="1" customWidth="1" min="57" max="57"/>
    <col width="26.855469" bestFit="1" customWidth="1" min="58" max="58"/>
    <col width="11.425781" bestFit="1" customWidth="1" min="59" max="59"/>
    <col width="6.425781" bestFit="1" customWidth="1" style="1" min="60" max="60"/>
    <col width="14.285156" bestFit="1" customWidth="1" min="61" max="61"/>
    <col width="22.710938" bestFit="1" customWidth="1" min="62" max="62"/>
    <col width="9.140625" customWidth="1" min="63" max="63"/>
  </cols>
  <sheetData>
    <row r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DN</t>
        </is>
      </c>
      <c r="F1" s="1" t="inlineStr">
        <is>
          <t>CEL</t>
        </is>
      </c>
      <c r="G1" t="inlineStr">
        <is>
          <t>ContentGeometryParamDefinition</t>
        </is>
      </c>
      <c r="H1" t="inlineStr">
        <is>
          <t>SizeRecordId_S1</t>
        </is>
      </c>
      <c r="I1" s="77" t="inlineStr">
        <is>
          <t>PortName_S1</t>
        </is>
      </c>
      <c r="J1" s="1" t="inlineStr">
        <is>
          <t>NominalDiameter_S1</t>
        </is>
      </c>
      <c r="K1" s="1" t="inlineStr">
        <is>
          <t>NominalUnit_S1</t>
        </is>
      </c>
      <c r="L1" s="1" t="inlineStr">
        <is>
          <t>MatchingPipeOd_S1</t>
        </is>
      </c>
      <c r="M1" s="1" t="inlineStr">
        <is>
          <t>EndType_S1</t>
        </is>
      </c>
      <c r="N1" s="1" t="inlineStr">
        <is>
          <t>FlangeStd_S1</t>
        </is>
      </c>
      <c r="O1" s="1" t="inlineStr">
        <is>
          <t>GasketStd_S1</t>
        </is>
      </c>
      <c r="P1" s="1" t="inlineStr">
        <is>
          <t>Facing_S1</t>
        </is>
      </c>
      <c r="Q1" s="1" t="inlineStr">
        <is>
          <t>FlangeThickness_S1</t>
        </is>
      </c>
      <c r="R1" s="1" t="inlineStr">
        <is>
          <t>PressureClass_S1</t>
        </is>
      </c>
      <c r="S1" s="1" t="inlineStr">
        <is>
          <t>Schedule_S1</t>
        </is>
      </c>
      <c r="T1" s="1" t="inlineStr">
        <is>
          <t>WallThickness_S1</t>
        </is>
      </c>
      <c r="U1" s="1" t="inlineStr">
        <is>
          <t>EngagementLength_S1</t>
        </is>
      </c>
      <c r="V1" s="1" t="inlineStr">
        <is>
          <t>LengthUnit_S1</t>
        </is>
      </c>
      <c r="W1" t="inlineStr">
        <is>
          <t>SizeRecordId_S2</t>
        </is>
      </c>
      <c r="X1" s="77" t="inlineStr">
        <is>
          <t>PortName_S2</t>
        </is>
      </c>
      <c r="Y1" s="1" t="inlineStr">
        <is>
          <t>NominalDiameter_S2</t>
        </is>
      </c>
      <c r="Z1" s="1" t="inlineStr">
        <is>
          <t>NominalUnit_S2</t>
        </is>
      </c>
      <c r="AA1" s="1" t="inlineStr">
        <is>
          <t>MatchingPipeOd_S2</t>
        </is>
      </c>
      <c r="AB1" s="1" t="inlineStr">
        <is>
          <t>EndType_S2</t>
        </is>
      </c>
      <c r="AC1" s="1" t="inlineStr">
        <is>
          <t>FlangeStd_S2</t>
        </is>
      </c>
      <c r="AD1" s="1" t="inlineStr">
        <is>
          <t>GasketStd_S2</t>
        </is>
      </c>
      <c r="AE1" s="1" t="inlineStr">
        <is>
          <t>Facing_S2</t>
        </is>
      </c>
      <c r="AF1" s="1" t="inlineStr">
        <is>
          <t>FlangeThickness_S2</t>
        </is>
      </c>
      <c r="AG1" s="1" t="inlineStr">
        <is>
          <t>PressureClass_S2</t>
        </is>
      </c>
      <c r="AH1" s="1" t="inlineStr">
        <is>
          <t>Schedule_S2</t>
        </is>
      </c>
      <c r="AI1" s="1" t="inlineStr">
        <is>
          <t>WallThickness_S2</t>
        </is>
      </c>
      <c r="AJ1" s="1" t="inlineStr">
        <is>
          <t>EngagementLength_S2</t>
        </is>
      </c>
      <c r="AK1" s="1" t="inlineStr">
        <is>
          <t>LengthUnit_S2</t>
        </is>
      </c>
      <c r="AL1" s="1" t="inlineStr">
        <is>
          <t>ShortDescription</t>
        </is>
      </c>
      <c r="AM1" s="1" t="inlineStr">
        <is>
          <t>CompatibleStandard</t>
        </is>
      </c>
      <c r="AN1" s="1" t="inlineStr">
        <is>
          <t>DesignStd</t>
        </is>
      </c>
      <c r="AO1" s="1" t="inlineStr">
        <is>
          <t>PartFamilyLongDesc</t>
        </is>
      </c>
      <c r="AP1" s="1" t="inlineStr">
        <is>
          <t>PartSizeLongDesc</t>
        </is>
      </c>
      <c r="AQ1" s="1" t="inlineStr">
        <is>
          <t>Material</t>
        </is>
      </c>
      <c r="AR1" s="1" t="inlineStr">
        <is>
          <t>MaterialCode</t>
        </is>
      </c>
      <c r="AS1" s="1" t="inlineStr">
        <is>
          <t>Weight</t>
        </is>
      </c>
      <c r="AT1" s="1" t="inlineStr">
        <is>
          <t>WeightUnit</t>
        </is>
      </c>
      <c r="AU1" s="1" t="inlineStr">
        <is>
          <t>SKEY</t>
        </is>
      </c>
      <c r="AV1" s="1" t="inlineStr">
        <is>
          <t>TYPE</t>
        </is>
      </c>
      <c r="AW1" t="inlineStr">
        <is>
          <t>PartFamilyId</t>
        </is>
      </c>
      <c r="AX1" t="inlineStr">
        <is>
          <t>CatalogPartFamilyId</t>
        </is>
      </c>
      <c r="AY1" t="inlineStr">
        <is>
          <t>PartStatus</t>
        </is>
      </c>
      <c r="AZ1" s="1" t="inlineStr">
        <is>
          <t>Manufacturer</t>
        </is>
      </c>
      <c r="BA1" s="1" t="inlineStr">
        <is>
          <t>ItemCode</t>
        </is>
      </c>
      <c r="BB1" s="1" t="inlineStr">
        <is>
          <t>DesignPressureFactor</t>
        </is>
      </c>
      <c r="BC1" t="inlineStr">
        <is>
          <t>ConnectionPortCount</t>
        </is>
      </c>
      <c r="BD1" s="1" t="inlineStr">
        <is>
          <t>ComponentDesignation</t>
        </is>
      </c>
      <c r="BE1" t="inlineStr">
        <is>
          <t>PartCategory</t>
        </is>
      </c>
      <c r="BF1" t="inlineStr">
        <is>
          <t>ContentIsoSymbolDefinition</t>
        </is>
      </c>
      <c r="BG1" t="inlineStr">
        <is>
          <t>PartVersion</t>
        </is>
      </c>
      <c r="BH1" s="1" t="inlineStr">
        <is>
          <t>Status</t>
        </is>
      </c>
      <c r="BI1" t="inlineStr">
        <is>
          <t>PnPClassName</t>
        </is>
      </c>
      <c r="BJ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DN</t>
        </is>
      </c>
      <c r="F2" s="2" t="inlineStr">
        <is>
          <t>CEL</t>
        </is>
      </c>
      <c r="G2" s="2" t="inlineStr">
        <is>
          <t>ContentGeometryParamDefinition</t>
        </is>
      </c>
      <c r="H2" s="2" t="inlineStr">
        <is>
          <t>SizeRecordId_S1</t>
        </is>
      </c>
      <c r="I2" s="78" t="inlineStr">
        <is>
          <t>PortName_S1</t>
        </is>
      </c>
      <c r="J2" s="2" t="inlineStr">
        <is>
          <t>NominalDiameter_S1</t>
        </is>
      </c>
      <c r="K2" s="2" t="inlineStr">
        <is>
          <t>NominalUnit_S1</t>
        </is>
      </c>
      <c r="L2" s="2" t="inlineStr">
        <is>
          <t>MatchingPipeOd_S1</t>
        </is>
      </c>
      <c r="M2" s="2" t="inlineStr">
        <is>
          <t>EndType_S1</t>
        </is>
      </c>
      <c r="N2" s="2" t="inlineStr">
        <is>
          <t>FlangeStd_S1</t>
        </is>
      </c>
      <c r="O2" s="2" t="inlineStr">
        <is>
          <t>GasketStd_S1</t>
        </is>
      </c>
      <c r="P2" s="2" t="inlineStr">
        <is>
          <t>Facing_S1</t>
        </is>
      </c>
      <c r="Q2" s="2" t="inlineStr">
        <is>
          <t>FlangeThickness_S1</t>
        </is>
      </c>
      <c r="R2" s="2" t="inlineStr">
        <is>
          <t>PressureClass_S1</t>
        </is>
      </c>
      <c r="S2" s="2" t="inlineStr">
        <is>
          <t>Schedule_S1</t>
        </is>
      </c>
      <c r="T2" s="2" t="inlineStr">
        <is>
          <t>WallThickness_S1</t>
        </is>
      </c>
      <c r="U2" s="2" t="inlineStr">
        <is>
          <t>EngagementLength_S1</t>
        </is>
      </c>
      <c r="V2" s="2" t="inlineStr">
        <is>
          <t>LengthUnit_S1</t>
        </is>
      </c>
      <c r="W2" s="2" t="inlineStr">
        <is>
          <t>SizeRecordId_S2</t>
        </is>
      </c>
      <c r="X2" s="78" t="inlineStr">
        <is>
          <t>PortName_S2</t>
        </is>
      </c>
      <c r="Y2" s="2" t="inlineStr">
        <is>
          <t>NominalDiameter_S2</t>
        </is>
      </c>
      <c r="Z2" s="2" t="inlineStr">
        <is>
          <t>NominalUnit_S2</t>
        </is>
      </c>
      <c r="AA2" s="2" t="inlineStr">
        <is>
          <t>MatchingPipeOd_S2</t>
        </is>
      </c>
      <c r="AB2" s="2" t="inlineStr">
        <is>
          <t>EndType_S2</t>
        </is>
      </c>
      <c r="AC2" s="2" t="inlineStr">
        <is>
          <t>FlangeStd_S2</t>
        </is>
      </c>
      <c r="AD2" s="2" t="inlineStr">
        <is>
          <t>GasketStd_S2</t>
        </is>
      </c>
      <c r="AE2" s="2" t="inlineStr">
        <is>
          <t>Facing_S2</t>
        </is>
      </c>
      <c r="AF2" s="2" t="inlineStr">
        <is>
          <t>FlangeThickness_S2</t>
        </is>
      </c>
      <c r="AG2" s="2" t="inlineStr">
        <is>
          <t>PressureClass_S2</t>
        </is>
      </c>
      <c r="AH2" s="2" t="inlineStr">
        <is>
          <t>Schedule_S2</t>
        </is>
      </c>
      <c r="AI2" s="2" t="inlineStr">
        <is>
          <t>WallThickness_S2</t>
        </is>
      </c>
      <c r="AJ2" s="2" t="inlineStr">
        <is>
          <t>EngagementLength_S2</t>
        </is>
      </c>
      <c r="AK2" s="2" t="inlineStr">
        <is>
          <t>LengthUnit_S2</t>
        </is>
      </c>
      <c r="AL2" s="2" t="inlineStr">
        <is>
          <t>ShortDescription</t>
        </is>
      </c>
      <c r="AM2" s="2" t="inlineStr">
        <is>
          <t>CompatibleStandard</t>
        </is>
      </c>
      <c r="AN2" s="2" t="inlineStr">
        <is>
          <t>DesignStd</t>
        </is>
      </c>
      <c r="AO2" s="2" t="inlineStr">
        <is>
          <t>PartFamilyLongDesc</t>
        </is>
      </c>
      <c r="AP2" s="2" t="inlineStr">
        <is>
          <t>PartSizeLongDesc</t>
        </is>
      </c>
      <c r="AQ2" s="2" t="inlineStr">
        <is>
          <t>Material</t>
        </is>
      </c>
      <c r="AR2" s="2" t="inlineStr">
        <is>
          <t>MaterialCode</t>
        </is>
      </c>
      <c r="AS2" s="2" t="inlineStr">
        <is>
          <t>Weight</t>
        </is>
      </c>
      <c r="AT2" s="2" t="inlineStr">
        <is>
          <t>WeightUnit</t>
        </is>
      </c>
      <c r="AU2" s="2" t="inlineStr">
        <is>
          <t>SKEY</t>
        </is>
      </c>
      <c r="AV2" s="2" t="inlineStr">
        <is>
          <t>TYPE</t>
        </is>
      </c>
      <c r="AW2" s="2" t="inlineStr">
        <is>
          <t>PartFamilyId</t>
        </is>
      </c>
      <c r="AX2" s="2" t="inlineStr">
        <is>
          <t>CatalogPartFamilyId</t>
        </is>
      </c>
      <c r="AY2" s="2" t="inlineStr">
        <is>
          <t>PartStatus</t>
        </is>
      </c>
      <c r="AZ2" s="2" t="inlineStr">
        <is>
          <t>Manufacturer</t>
        </is>
      </c>
      <c r="BA2" s="2" t="inlineStr">
        <is>
          <t>ItemCode</t>
        </is>
      </c>
      <c r="BB2" s="2" t="inlineStr">
        <is>
          <t>DesignPressureFactor</t>
        </is>
      </c>
      <c r="BC2" s="2" t="inlineStr">
        <is>
          <t>ConnectionPortCount</t>
        </is>
      </c>
      <c r="BD2" s="2" t="inlineStr">
        <is>
          <t>ComponentDesignation</t>
        </is>
      </c>
      <c r="BE2" s="2" t="inlineStr">
        <is>
          <t>PartCategory</t>
        </is>
      </c>
      <c r="BF2" s="2" t="inlineStr">
        <is>
          <t>ContentIsoSymbolDefinition</t>
        </is>
      </c>
      <c r="BG2" s="2" t="inlineStr">
        <is>
          <t>PartVersion</t>
        </is>
      </c>
      <c r="BH2" s="2" t="inlineStr">
        <is>
          <t>Status</t>
        </is>
      </c>
      <c r="BI2" s="2" t="inlineStr">
        <is>
          <t>PnPClassName</t>
        </is>
      </c>
      <c r="BJ2" s="2" t="inlineStr">
        <is>
          <t>ExcelFormatVersion_2.0</t>
        </is>
      </c>
    </row>
    <row r="3">
      <c r="B3" s="1" t="inlineStr">
        <is>
          <t>15</t>
        </is>
      </c>
      <c r="C3" s="1" t="inlineStr">
        <is>
          <t>CUST_SO_FLRF_CL150</t>
        </is>
      </c>
      <c r="D3" s="1" t="inlineStr">
        <is>
          <t>C:\AutoCAD Plant 3D 2026 Content\CPak Common\CustomScripts\CUST_SO_FLRF_CL150.py</t>
        </is>
      </c>
      <c r="E3" s="1" t="inlineStr">
        <is>
          <t>15</t>
        </is>
      </c>
      <c r="F3" s="6" t="n">
        <v>10.27</v>
      </c>
      <c r="G3" t="inlineStr">
        <is>
          <t>DN,CEL</t>
        </is>
      </c>
      <c r="H3" t="inlineStr">
        <is>
          <t>a5e7d16e-025b-4536-bf4a-cc1952e5ebf8</t>
        </is>
      </c>
      <c r="I3" s="77" t="inlineStr">
        <is>
          <t>S1</t>
        </is>
      </c>
      <c r="J3" s="1" t="inlineStr">
        <is>
          <t>15</t>
        </is>
      </c>
      <c r="K3" s="1" t="inlineStr">
        <is>
          <t>mm</t>
        </is>
      </c>
      <c r="L3" s="1" t="inlineStr">
        <is>
          <t>21.34</t>
        </is>
      </c>
      <c r="M3" s="1" t="inlineStr">
        <is>
          <t>FL</t>
        </is>
      </c>
      <c r="P3" t="inlineStr">
        <is>
          <t>RF</t>
        </is>
      </c>
      <c r="R3" s="1" t="inlineStr">
        <is>
          <t>150</t>
        </is>
      </c>
      <c r="T3" s="1" t="inlineStr">
        <is>
          <t>0</t>
        </is>
      </c>
      <c r="U3" s="1" t="inlineStr">
        <is>
          <t>0</t>
        </is>
      </c>
      <c r="V3" s="1" t="inlineStr">
        <is>
          <t>mm</t>
        </is>
      </c>
      <c r="W3" t="inlineStr">
        <is>
          <t>5656a1b1-9b42-4df1-9d73-5050055bfa1c</t>
        </is>
      </c>
      <c r="X3" s="77" t="inlineStr">
        <is>
          <t>S2</t>
        </is>
      </c>
      <c r="Y3" s="1" t="inlineStr">
        <is>
          <t>15</t>
        </is>
      </c>
      <c r="Z3" s="1" t="inlineStr">
        <is>
          <t>mm</t>
        </is>
      </c>
      <c r="AA3" s="1" t="inlineStr">
        <is>
          <t>21.34</t>
        </is>
      </c>
      <c r="AB3" s="1" t="inlineStr">
        <is>
          <t>SO</t>
        </is>
      </c>
      <c r="AI3" s="1" t="inlineStr">
        <is>
          <t>0</t>
        </is>
      </c>
      <c r="AJ3" s="1" t="inlineStr">
        <is>
          <t>0</t>
        </is>
      </c>
      <c r="AK3" s="1" t="inlineStr">
        <is>
          <t>mm</t>
        </is>
      </c>
      <c r="AL3" s="1" t="inlineStr">
        <is>
          <t>SO_FLRF_CL150</t>
        </is>
      </c>
      <c r="AO3" s="1" t="inlineStr">
        <is>
          <t>Flange. Slip-on Hub CL150 RF smooth (3.2-6.3 um) CS ASTM A105N Dims to ASME B16.5</t>
        </is>
      </c>
      <c r="AP3" s="1">
        <f>REPLACE(AO3, 16, 0, " DN" &amp; E3)</f>
        <v/>
      </c>
      <c r="AQ3" s="1" t="inlineStr">
        <is>
          <t>CS</t>
        </is>
      </c>
      <c r="AW3" t="inlineStr">
        <is>
          <t>ff921f0e-4cfd-4d5d-a134-be21e7eec3ba</t>
        </is>
      </c>
      <c r="BC3" t="inlineStr">
        <is>
          <t>2</t>
        </is>
      </c>
      <c r="BE3" t="inlineStr">
        <is>
          <t>Flanges</t>
        </is>
      </c>
      <c r="BI3" t="inlineStr">
        <is>
          <t>Flange</t>
        </is>
      </c>
    </row>
    <row r="4">
      <c r="B4" s="1" t="inlineStr">
        <is>
          <t>20</t>
        </is>
      </c>
      <c r="C4" s="1" t="inlineStr">
        <is>
          <t>CUST_SO_FLRF_CL150</t>
        </is>
      </c>
      <c r="D4" s="1" t="inlineStr">
        <is>
          <t>C:\AutoCAD Plant 3D 2026 Content\CPak Common\CustomScripts\CUST_SO_FLRF_CL150.py</t>
        </is>
      </c>
      <c r="E4" s="1" t="inlineStr">
        <is>
          <t>20</t>
        </is>
      </c>
      <c r="F4" s="6" t="n">
        <v>10.09</v>
      </c>
      <c r="G4" t="inlineStr">
        <is>
          <t>DN,CEL</t>
        </is>
      </c>
      <c r="H4" t="inlineStr">
        <is>
          <t>f4f75ccc-ebf5-4070-a703-8ce25d1b0c3e</t>
        </is>
      </c>
      <c r="I4" s="77" t="inlineStr">
        <is>
          <t>S1</t>
        </is>
      </c>
      <c r="J4" s="1" t="inlineStr">
        <is>
          <t>20</t>
        </is>
      </c>
      <c r="K4" s="1" t="inlineStr">
        <is>
          <t>mm</t>
        </is>
      </c>
      <c r="L4" s="1" t="inlineStr">
        <is>
          <t>26.67</t>
        </is>
      </c>
      <c r="M4" s="1" t="inlineStr">
        <is>
          <t>FL</t>
        </is>
      </c>
      <c r="P4" t="inlineStr">
        <is>
          <t>RF</t>
        </is>
      </c>
      <c r="R4" s="1" t="inlineStr">
        <is>
          <t>150</t>
        </is>
      </c>
      <c r="T4" s="1" t="inlineStr">
        <is>
          <t>0</t>
        </is>
      </c>
      <c r="U4" s="1" t="inlineStr">
        <is>
          <t>0</t>
        </is>
      </c>
      <c r="V4" s="1" t="inlineStr">
        <is>
          <t>mm</t>
        </is>
      </c>
      <c r="W4" t="inlineStr">
        <is>
          <t>dedb5e82-22dc-43d9-bf70-76908ec9944d</t>
        </is>
      </c>
      <c r="X4" s="77" t="inlineStr">
        <is>
          <t>S2</t>
        </is>
      </c>
      <c r="Y4" s="1" t="inlineStr">
        <is>
          <t>20</t>
        </is>
      </c>
      <c r="Z4" s="1" t="inlineStr">
        <is>
          <t>mm</t>
        </is>
      </c>
      <c r="AA4" s="1" t="inlineStr">
        <is>
          <t>26.67</t>
        </is>
      </c>
      <c r="AB4" s="1" t="inlineStr">
        <is>
          <t>SO</t>
        </is>
      </c>
      <c r="AI4" s="1" t="inlineStr">
        <is>
          <t>0</t>
        </is>
      </c>
      <c r="AJ4" s="1" t="inlineStr">
        <is>
          <t>0</t>
        </is>
      </c>
      <c r="AK4" s="1" t="inlineStr">
        <is>
          <t>mm</t>
        </is>
      </c>
      <c r="AL4" s="1" t="inlineStr">
        <is>
          <t>SO_FLRF_CL150</t>
        </is>
      </c>
      <c r="AO4" s="1" t="inlineStr">
        <is>
          <t>Flange. Slip-on Hub CL150 RF smooth (3.2-6.3 um) CS ASTM A105N Dims to ASME B16.5</t>
        </is>
      </c>
      <c r="AP4" s="1">
        <f>REPLACE(AO4, 16, 0, " DN" &amp; E4)</f>
        <v/>
      </c>
      <c r="AQ4" s="1" t="inlineStr">
        <is>
          <t>CS</t>
        </is>
      </c>
      <c r="AW4" t="inlineStr">
        <is>
          <t>ff921f0e-4cfd-4d5d-a134-be21e7eec3ba</t>
        </is>
      </c>
      <c r="BC4" t="inlineStr">
        <is>
          <t>2</t>
        </is>
      </c>
      <c r="BE4" t="inlineStr">
        <is>
          <t>Flanges</t>
        </is>
      </c>
      <c r="BI4" t="inlineStr">
        <is>
          <t>Flange</t>
        </is>
      </c>
    </row>
    <row r="5">
      <c r="B5" s="1" t="inlineStr">
        <is>
          <t>25</t>
        </is>
      </c>
      <c r="C5" s="1" t="inlineStr">
        <is>
          <t>CUST_SO_FLRF_CL150</t>
        </is>
      </c>
      <c r="D5" s="1" t="inlineStr">
        <is>
          <t>C:\AutoCAD Plant 3D 2026 Content\CPak Common\CustomScripts\CUST_SO_FLRF_CL150.py</t>
        </is>
      </c>
      <c r="E5" s="1" t="inlineStr">
        <is>
          <t>25</t>
        </is>
      </c>
      <c r="F5" s="6" t="n">
        <v>11.45</v>
      </c>
      <c r="G5" t="inlineStr">
        <is>
          <t>DN,CEL</t>
        </is>
      </c>
      <c r="H5" t="inlineStr">
        <is>
          <t>a9ac2ddd-03b8-4a8a-8ded-d4373c23a891</t>
        </is>
      </c>
      <c r="I5" s="77" t="inlineStr">
        <is>
          <t>S1</t>
        </is>
      </c>
      <c r="J5" s="1" t="inlineStr">
        <is>
          <t>25</t>
        </is>
      </c>
      <c r="K5" s="1" t="inlineStr">
        <is>
          <t>mm</t>
        </is>
      </c>
      <c r="L5" s="1" t="inlineStr">
        <is>
          <t>33.4</t>
        </is>
      </c>
      <c r="M5" s="1" t="inlineStr">
        <is>
          <t>FL</t>
        </is>
      </c>
      <c r="P5" t="inlineStr">
        <is>
          <t>RF</t>
        </is>
      </c>
      <c r="R5" s="1" t="inlineStr">
        <is>
          <t>150</t>
        </is>
      </c>
      <c r="T5" s="1" t="inlineStr">
        <is>
          <t>0</t>
        </is>
      </c>
      <c r="U5" s="1" t="inlineStr">
        <is>
          <t>0</t>
        </is>
      </c>
      <c r="V5" s="1" t="inlineStr">
        <is>
          <t>mm</t>
        </is>
      </c>
      <c r="W5" t="inlineStr">
        <is>
          <t>8dbff342-a678-420d-802c-5cd84430da68</t>
        </is>
      </c>
      <c r="X5" s="77" t="inlineStr">
        <is>
          <t>S2</t>
        </is>
      </c>
      <c r="Y5" s="1" t="inlineStr">
        <is>
          <t>25</t>
        </is>
      </c>
      <c r="Z5" s="1" t="inlineStr">
        <is>
          <t>mm</t>
        </is>
      </c>
      <c r="AA5" s="1" t="inlineStr">
        <is>
          <t>33.4</t>
        </is>
      </c>
      <c r="AB5" s="1" t="inlineStr">
        <is>
          <t>SO</t>
        </is>
      </c>
      <c r="AI5" s="1" t="inlineStr">
        <is>
          <t>0</t>
        </is>
      </c>
      <c r="AJ5" s="1" t="inlineStr">
        <is>
          <t>0</t>
        </is>
      </c>
      <c r="AK5" s="1" t="inlineStr">
        <is>
          <t>mm</t>
        </is>
      </c>
      <c r="AL5" s="1" t="inlineStr">
        <is>
          <t>SO_FLRF_CL150</t>
        </is>
      </c>
      <c r="AO5" s="1" t="inlineStr">
        <is>
          <t>Flange. Slip-on Hub CL150 RF smooth (3.2-6.3 um) CS ASTM A105N Dims to ASME B16.5</t>
        </is>
      </c>
      <c r="AP5" s="1">
        <f>REPLACE(AO5, 16, 0, " DN" &amp; E5)</f>
        <v/>
      </c>
      <c r="AQ5" s="1" t="inlineStr">
        <is>
          <t>CS</t>
        </is>
      </c>
      <c r="AW5" t="inlineStr">
        <is>
          <t>ff921f0e-4cfd-4d5d-a134-be21e7eec3ba</t>
        </is>
      </c>
      <c r="BC5" t="inlineStr">
        <is>
          <t>2</t>
        </is>
      </c>
      <c r="BE5" t="inlineStr">
        <is>
          <t>Flanges</t>
        </is>
      </c>
      <c r="BI5" t="inlineStr">
        <is>
          <t>Flange</t>
        </is>
      </c>
    </row>
    <row r="6">
      <c r="B6" s="1" t="inlineStr">
        <is>
          <t>32</t>
        </is>
      </c>
      <c r="C6" s="1" t="inlineStr">
        <is>
          <t>CUST_SO_FLRF_CL150</t>
        </is>
      </c>
      <c r="D6" s="1" t="inlineStr">
        <is>
          <t>C:\AutoCAD Plant 3D 2026 Content\CPak Common\CustomScripts\CUST_SO_FLRF_CL150.py</t>
        </is>
      </c>
      <c r="E6" s="1" t="inlineStr">
        <is>
          <t>32</t>
        </is>
      </c>
      <c r="F6" s="6" t="n">
        <v>14.15</v>
      </c>
      <c r="G6" t="inlineStr">
        <is>
          <t>DN,CEL</t>
        </is>
      </c>
      <c r="H6" t="inlineStr">
        <is>
          <t>d7c616f8-9587-451b-9ce1-49cd9526c8af</t>
        </is>
      </c>
      <c r="I6" s="77" t="inlineStr">
        <is>
          <t>S1</t>
        </is>
      </c>
      <c r="J6" s="1" t="inlineStr">
        <is>
          <t>32</t>
        </is>
      </c>
      <c r="K6" s="1" t="inlineStr">
        <is>
          <t>mm</t>
        </is>
      </c>
      <c r="L6" s="1" t="inlineStr">
        <is>
          <t>42.16</t>
        </is>
      </c>
      <c r="M6" s="1" t="inlineStr">
        <is>
          <t>FL</t>
        </is>
      </c>
      <c r="P6" t="inlineStr">
        <is>
          <t>RF</t>
        </is>
      </c>
      <c r="R6" s="1" t="inlineStr">
        <is>
          <t>150</t>
        </is>
      </c>
      <c r="T6" s="1" t="inlineStr">
        <is>
          <t>0</t>
        </is>
      </c>
      <c r="U6" s="1" t="inlineStr">
        <is>
          <t>0</t>
        </is>
      </c>
      <c r="V6" s="1" t="inlineStr">
        <is>
          <t>mm</t>
        </is>
      </c>
      <c r="W6" t="inlineStr">
        <is>
          <t>57604c0a-38ab-46ea-9a29-088c6cb17448</t>
        </is>
      </c>
      <c r="X6" s="77" t="inlineStr">
        <is>
          <t>S2</t>
        </is>
      </c>
      <c r="Y6" s="1" t="inlineStr">
        <is>
          <t>32</t>
        </is>
      </c>
      <c r="Z6" s="1" t="inlineStr">
        <is>
          <t>mm</t>
        </is>
      </c>
      <c r="AA6" s="1" t="inlineStr">
        <is>
          <t>42.16</t>
        </is>
      </c>
      <c r="AB6" s="1" t="inlineStr">
        <is>
          <t>SO</t>
        </is>
      </c>
      <c r="AI6" s="1" t="inlineStr">
        <is>
          <t>0</t>
        </is>
      </c>
      <c r="AJ6" s="1" t="inlineStr">
        <is>
          <t>0</t>
        </is>
      </c>
      <c r="AK6" s="1" t="inlineStr">
        <is>
          <t>mm</t>
        </is>
      </c>
      <c r="AL6" s="1" t="inlineStr">
        <is>
          <t>SO_FLRF_CL150</t>
        </is>
      </c>
      <c r="AO6" s="1" t="inlineStr">
        <is>
          <t>Flange. Slip-on Hub CL150 RF smooth (3.2-6.3 um) CS ASTM A105N Dims to ASME B16.5</t>
        </is>
      </c>
      <c r="AP6" s="1">
        <f>REPLACE(AO6, 16, 0, " DN" &amp; E6)</f>
        <v/>
      </c>
      <c r="AQ6" s="1" t="inlineStr">
        <is>
          <t>CS</t>
        </is>
      </c>
      <c r="AW6" t="inlineStr">
        <is>
          <t>ff921f0e-4cfd-4d5d-a134-be21e7eec3ba</t>
        </is>
      </c>
      <c r="BC6" t="inlineStr">
        <is>
          <t>2</t>
        </is>
      </c>
      <c r="BE6" t="inlineStr">
        <is>
          <t>Flanges</t>
        </is>
      </c>
      <c r="BI6" t="inlineStr">
        <is>
          <t>Flange</t>
        </is>
      </c>
    </row>
    <row r="7">
      <c r="B7" s="1" t="inlineStr">
        <is>
          <t>40</t>
        </is>
      </c>
      <c r="C7" s="1" t="inlineStr">
        <is>
          <t>CUST_SO_FLRF_CL150</t>
        </is>
      </c>
      <c r="D7" s="1" t="inlineStr">
        <is>
          <t>C:\AutoCAD Plant 3D 2026 Content\CPak Common\CustomScripts\CUST_SO_FLRF_CL150.py</t>
        </is>
      </c>
      <c r="E7" s="1" t="inlineStr">
        <is>
          <t>40</t>
        </is>
      </c>
      <c r="F7" s="6" t="n">
        <v>15.92</v>
      </c>
      <c r="G7" t="inlineStr">
        <is>
          <t>DN,CEL</t>
        </is>
      </c>
      <c r="H7" t="inlineStr">
        <is>
          <t>062023dc-4257-43a3-a031-ea82b4965c9f</t>
        </is>
      </c>
      <c r="I7" s="77" t="inlineStr">
        <is>
          <t>S1</t>
        </is>
      </c>
      <c r="J7" s="1" t="inlineStr">
        <is>
          <t>40</t>
        </is>
      </c>
      <c r="K7" s="1" t="inlineStr">
        <is>
          <t>mm</t>
        </is>
      </c>
      <c r="L7" s="1" t="inlineStr">
        <is>
          <t>48.26</t>
        </is>
      </c>
      <c r="M7" s="1" t="inlineStr">
        <is>
          <t>FL</t>
        </is>
      </c>
      <c r="P7" t="inlineStr">
        <is>
          <t>RF</t>
        </is>
      </c>
      <c r="R7" s="1" t="inlineStr">
        <is>
          <t>150</t>
        </is>
      </c>
      <c r="T7" s="1" t="inlineStr">
        <is>
          <t>0</t>
        </is>
      </c>
      <c r="U7" s="1" t="inlineStr">
        <is>
          <t>0</t>
        </is>
      </c>
      <c r="V7" s="1" t="inlineStr">
        <is>
          <t>mm</t>
        </is>
      </c>
      <c r="W7" t="inlineStr">
        <is>
          <t>a64e3d96-5d8d-408d-8de1-871e36c94aeb</t>
        </is>
      </c>
      <c r="X7" s="77" t="inlineStr">
        <is>
          <t>S2</t>
        </is>
      </c>
      <c r="Y7" s="1" t="inlineStr">
        <is>
          <t>40</t>
        </is>
      </c>
      <c r="Z7" s="1" t="inlineStr">
        <is>
          <t>mm</t>
        </is>
      </c>
      <c r="AA7" s="1" t="inlineStr">
        <is>
          <t>48.26</t>
        </is>
      </c>
      <c r="AB7" s="1" t="inlineStr">
        <is>
          <t>SO</t>
        </is>
      </c>
      <c r="AI7" s="1" t="inlineStr">
        <is>
          <t>0</t>
        </is>
      </c>
      <c r="AJ7" s="1" t="inlineStr">
        <is>
          <t>0</t>
        </is>
      </c>
      <c r="AK7" s="1" t="inlineStr">
        <is>
          <t>mm</t>
        </is>
      </c>
      <c r="AL7" s="1" t="inlineStr">
        <is>
          <t>SO_FLRF_CL150</t>
        </is>
      </c>
      <c r="AO7" s="1" t="inlineStr">
        <is>
          <t>Flange. Slip-on Hub CL150 RF smooth (3.2-6.3 um) CS ASTM A105N Dims to ASME B16.5</t>
        </is>
      </c>
      <c r="AP7" s="1">
        <f>REPLACE(AO7, 16, 0, " DN" &amp; E7)</f>
        <v/>
      </c>
      <c r="AQ7" s="1" t="inlineStr">
        <is>
          <t>CS</t>
        </is>
      </c>
      <c r="AW7" t="inlineStr">
        <is>
          <t>ff921f0e-4cfd-4d5d-a134-be21e7eec3ba</t>
        </is>
      </c>
      <c r="BC7" t="inlineStr">
        <is>
          <t>2</t>
        </is>
      </c>
      <c r="BE7" t="inlineStr">
        <is>
          <t>Flanges</t>
        </is>
      </c>
      <c r="BI7" t="inlineStr">
        <is>
          <t>Flange</t>
        </is>
      </c>
    </row>
    <row r="8">
      <c r="B8" s="1" t="inlineStr">
        <is>
          <t>50</t>
        </is>
      </c>
      <c r="C8" s="1" t="inlineStr">
        <is>
          <t>CUST_SO_FLRF_CL150</t>
        </is>
      </c>
      <c r="D8" s="1" t="inlineStr">
        <is>
          <t>C:\AutoCAD Plant 3D 2026 Content\CPak Common\CustomScripts\CUST_SO_FLRF_CL150.py</t>
        </is>
      </c>
      <c r="E8" s="1" t="inlineStr">
        <is>
          <t>50</t>
        </is>
      </c>
      <c r="F8" s="6" t="n">
        <v>20.09</v>
      </c>
      <c r="G8" t="inlineStr">
        <is>
          <t>DN,CEL</t>
        </is>
      </c>
      <c r="H8" t="inlineStr">
        <is>
          <t>d6c9b80e-2b8f-4b40-8a94-dc5b22c22704</t>
        </is>
      </c>
      <c r="I8" s="77" t="inlineStr">
        <is>
          <t>S1</t>
        </is>
      </c>
      <c r="J8" s="1" t="inlineStr">
        <is>
          <t>50</t>
        </is>
      </c>
      <c r="K8" s="1" t="inlineStr">
        <is>
          <t>mm</t>
        </is>
      </c>
      <c r="L8" s="1" t="inlineStr">
        <is>
          <t>60.32</t>
        </is>
      </c>
      <c r="M8" s="1" t="inlineStr">
        <is>
          <t>FL</t>
        </is>
      </c>
      <c r="P8" t="inlineStr">
        <is>
          <t>RF</t>
        </is>
      </c>
      <c r="R8" s="1" t="inlineStr">
        <is>
          <t>150</t>
        </is>
      </c>
      <c r="T8" s="1" t="inlineStr">
        <is>
          <t>0</t>
        </is>
      </c>
      <c r="U8" s="1" t="inlineStr">
        <is>
          <t>0</t>
        </is>
      </c>
      <c r="V8" s="1" t="inlineStr">
        <is>
          <t>mm</t>
        </is>
      </c>
      <c r="W8" t="inlineStr">
        <is>
          <t>2846f27c-9b36-4299-9f76-6912842e427d</t>
        </is>
      </c>
      <c r="X8" s="77" t="inlineStr">
        <is>
          <t>S2</t>
        </is>
      </c>
      <c r="Y8" s="1" t="inlineStr">
        <is>
          <t>50</t>
        </is>
      </c>
      <c r="Z8" s="1" t="inlineStr">
        <is>
          <t>mm</t>
        </is>
      </c>
      <c r="AA8" s="1" t="inlineStr">
        <is>
          <t>60.32</t>
        </is>
      </c>
      <c r="AB8" s="1" t="inlineStr">
        <is>
          <t>SO</t>
        </is>
      </c>
      <c r="AI8" s="1" t="inlineStr">
        <is>
          <t>0</t>
        </is>
      </c>
      <c r="AJ8" s="1" t="inlineStr">
        <is>
          <t>0</t>
        </is>
      </c>
      <c r="AK8" s="1" t="inlineStr">
        <is>
          <t>mm</t>
        </is>
      </c>
      <c r="AL8" s="1" t="inlineStr">
        <is>
          <t>SO_FLRF_CL150</t>
        </is>
      </c>
      <c r="AO8" s="1" t="inlineStr">
        <is>
          <t>Flange. Slip-on Hub CL150 RF smooth (3.2-6.3 um) CS ASTM A105N Dims to ASME B16.5</t>
        </is>
      </c>
      <c r="AP8" s="1">
        <f>REPLACE(AO8, 16, 0, " DN" &amp; E8)</f>
        <v/>
      </c>
      <c r="AQ8" s="1" t="inlineStr">
        <is>
          <t>CS</t>
        </is>
      </c>
      <c r="AW8" t="inlineStr">
        <is>
          <t>ff921f0e-4cfd-4d5d-a134-be21e7eec3ba</t>
        </is>
      </c>
      <c r="BC8" t="inlineStr">
        <is>
          <t>2</t>
        </is>
      </c>
      <c r="BE8" t="inlineStr">
        <is>
          <t>Flanges</t>
        </is>
      </c>
      <c r="BI8" t="inlineStr">
        <is>
          <t>Flange</t>
        </is>
      </c>
    </row>
    <row r="9">
      <c r="B9" s="1" t="inlineStr">
        <is>
          <t>65</t>
        </is>
      </c>
      <c r="C9" s="1" t="inlineStr">
        <is>
          <t>CUST_SO_FLRF_CL150</t>
        </is>
      </c>
      <c r="D9" s="1" t="inlineStr">
        <is>
          <t>C:\AutoCAD Plant 3D 2026 Content\CPak Common\CustomScripts\CUST_SO_FLRF_CL150.py</t>
        </is>
      </c>
      <c r="E9" s="1" t="inlineStr">
        <is>
          <t>65</t>
        </is>
      </c>
      <c r="F9" s="6" t="n">
        <v>22.22</v>
      </c>
      <c r="G9" t="inlineStr">
        <is>
          <t>DN,CEL</t>
        </is>
      </c>
      <c r="H9" t="inlineStr">
        <is>
          <t>0c19b506-fd25-454d-b653-816b06edeecc</t>
        </is>
      </c>
      <c r="I9" s="77" t="inlineStr">
        <is>
          <t>S1</t>
        </is>
      </c>
      <c r="J9" s="1" t="inlineStr">
        <is>
          <t>65</t>
        </is>
      </c>
      <c r="K9" s="1" t="inlineStr">
        <is>
          <t>mm</t>
        </is>
      </c>
      <c r="L9" s="1" t="inlineStr">
        <is>
          <t>73.03</t>
        </is>
      </c>
      <c r="M9" s="1" t="inlineStr">
        <is>
          <t>FL</t>
        </is>
      </c>
      <c r="P9" t="inlineStr">
        <is>
          <t>RF</t>
        </is>
      </c>
      <c r="R9" s="1" t="inlineStr">
        <is>
          <t>150</t>
        </is>
      </c>
      <c r="T9" s="1" t="inlineStr">
        <is>
          <t>0</t>
        </is>
      </c>
      <c r="U9" s="1" t="inlineStr">
        <is>
          <t>0</t>
        </is>
      </c>
      <c r="V9" s="1" t="inlineStr">
        <is>
          <t>mm</t>
        </is>
      </c>
      <c r="W9" t="inlineStr">
        <is>
          <t>d902e17e-9214-43a4-be8e-57309d9e6786</t>
        </is>
      </c>
      <c r="X9" s="77" t="inlineStr">
        <is>
          <t>S2</t>
        </is>
      </c>
      <c r="Y9" s="1" t="inlineStr">
        <is>
          <t>65</t>
        </is>
      </c>
      <c r="Z9" s="1" t="inlineStr">
        <is>
          <t>mm</t>
        </is>
      </c>
      <c r="AA9" s="1" t="inlineStr">
        <is>
          <t>73.03</t>
        </is>
      </c>
      <c r="AB9" s="1" t="inlineStr">
        <is>
          <t>SO</t>
        </is>
      </c>
      <c r="AI9" s="1" t="inlineStr">
        <is>
          <t>0</t>
        </is>
      </c>
      <c r="AJ9" s="1" t="inlineStr">
        <is>
          <t>0</t>
        </is>
      </c>
      <c r="AK9" s="1" t="inlineStr">
        <is>
          <t>mm</t>
        </is>
      </c>
      <c r="AL9" s="1" t="inlineStr">
        <is>
          <t>SO_FLRF_CL150</t>
        </is>
      </c>
      <c r="AO9" s="1" t="inlineStr">
        <is>
          <t>Flange. Slip-on Hub CL150 RF smooth (3.2-6.3 um) CS ASTM A105N Dims to ASME B16.5</t>
        </is>
      </c>
      <c r="AP9" s="1">
        <f>REPLACE(AO9, 16, 0, " DN" &amp; E9)</f>
        <v/>
      </c>
      <c r="AQ9" s="1" t="inlineStr">
        <is>
          <t>CS</t>
        </is>
      </c>
      <c r="AW9" t="inlineStr">
        <is>
          <t>ff921f0e-4cfd-4d5d-a134-be21e7eec3ba</t>
        </is>
      </c>
      <c r="BC9" t="inlineStr">
        <is>
          <t>2</t>
        </is>
      </c>
      <c r="BE9" t="inlineStr">
        <is>
          <t>Flanges</t>
        </is>
      </c>
      <c r="BI9" t="inlineStr">
        <is>
          <t>Flange</t>
        </is>
      </c>
    </row>
    <row r="10">
      <c r="B10" s="1" t="inlineStr">
        <is>
          <t>80</t>
        </is>
      </c>
      <c r="C10" s="1" t="inlineStr">
        <is>
          <t>CUST_SO_FLRF_CL150</t>
        </is>
      </c>
      <c r="D10" s="1" t="inlineStr">
        <is>
          <t>C:\AutoCAD Plant 3D 2026 Content\CPak Common\CustomScripts\CUST_SO_FLRF_CL150.py</t>
        </is>
      </c>
      <c r="E10" s="1" t="inlineStr">
        <is>
          <t>80</t>
        </is>
      </c>
      <c r="F10" s="6" t="n">
        <v>23.51</v>
      </c>
      <c r="G10" t="inlineStr">
        <is>
          <t>DN,CEL</t>
        </is>
      </c>
      <c r="H10" t="inlineStr">
        <is>
          <t>d95f0d5c-5840-4041-8bc8-031b5562157e</t>
        </is>
      </c>
      <c r="I10" s="77" t="inlineStr">
        <is>
          <t>S1</t>
        </is>
      </c>
      <c r="J10" s="1" t="inlineStr">
        <is>
          <t>80</t>
        </is>
      </c>
      <c r="K10" s="1" t="inlineStr">
        <is>
          <t>mm</t>
        </is>
      </c>
      <c r="L10" s="1" t="inlineStr">
        <is>
          <t>88.9</t>
        </is>
      </c>
      <c r="M10" s="1" t="inlineStr">
        <is>
          <t>FL</t>
        </is>
      </c>
      <c r="P10" t="inlineStr">
        <is>
          <t>RF</t>
        </is>
      </c>
      <c r="R10" s="1" t="inlineStr">
        <is>
          <t>150</t>
        </is>
      </c>
      <c r="T10" s="1" t="inlineStr">
        <is>
          <t>0</t>
        </is>
      </c>
      <c r="U10" s="1" t="inlineStr">
        <is>
          <t>0</t>
        </is>
      </c>
      <c r="V10" s="1" t="inlineStr">
        <is>
          <t>mm</t>
        </is>
      </c>
      <c r="W10" t="inlineStr">
        <is>
          <t>e6c31a2f-1a66-4968-9f4e-deab01b0a5c0</t>
        </is>
      </c>
      <c r="X10" s="77" t="inlineStr">
        <is>
          <t>S2</t>
        </is>
      </c>
      <c r="Y10" s="1" t="inlineStr">
        <is>
          <t>80</t>
        </is>
      </c>
      <c r="Z10" s="1" t="inlineStr">
        <is>
          <t>mm</t>
        </is>
      </c>
      <c r="AA10" s="1" t="inlineStr">
        <is>
          <t>88.9</t>
        </is>
      </c>
      <c r="AB10" s="1" t="inlineStr">
        <is>
          <t>SO</t>
        </is>
      </c>
      <c r="AI10" s="1" t="inlineStr">
        <is>
          <t>0</t>
        </is>
      </c>
      <c r="AJ10" s="1" t="inlineStr">
        <is>
          <t>0</t>
        </is>
      </c>
      <c r="AK10" s="1" t="inlineStr">
        <is>
          <t>mm</t>
        </is>
      </c>
      <c r="AL10" s="1" t="inlineStr">
        <is>
          <t>SO_FLRF_CL150</t>
        </is>
      </c>
      <c r="AO10" s="1" t="inlineStr">
        <is>
          <t>Flange. Slip-on Hub CL150 RF smooth (3.2-6.3 um) CS ASTM A105N Dims to ASME B16.5</t>
        </is>
      </c>
      <c r="AP10" s="1">
        <f>REPLACE(AO10, 16, 0, " DN" &amp; E10)</f>
        <v/>
      </c>
      <c r="AQ10" s="1" t="inlineStr">
        <is>
          <t>CS</t>
        </is>
      </c>
      <c r="AW10" t="inlineStr">
        <is>
          <t>ff921f0e-4cfd-4d5d-a134-be21e7eec3ba</t>
        </is>
      </c>
      <c r="BC10" t="inlineStr">
        <is>
          <t>2</t>
        </is>
      </c>
      <c r="BE10" t="inlineStr">
        <is>
          <t>Flanges</t>
        </is>
      </c>
      <c r="BI10" t="inlineStr">
        <is>
          <t>Flange</t>
        </is>
      </c>
    </row>
    <row r="11">
      <c r="B11" s="1" t="inlineStr">
        <is>
          <t>90</t>
        </is>
      </c>
      <c r="C11" s="1" t="inlineStr">
        <is>
          <t>CUST_SO_FLRF_CL150</t>
        </is>
      </c>
      <c r="D11" s="1" t="inlineStr">
        <is>
          <t>C:\AutoCAD Plant 3D 2026 Content\CPak Common\CustomScripts\CUST_SO_FLRF_CL150.py</t>
        </is>
      </c>
      <c r="E11" s="1" t="inlineStr">
        <is>
          <t>90</t>
        </is>
      </c>
      <c r="F11" s="6" t="n">
        <v>24.26</v>
      </c>
      <c r="G11" t="inlineStr">
        <is>
          <t>DN,CEL</t>
        </is>
      </c>
      <c r="H11" t="inlineStr">
        <is>
          <t>4ce2af4b-3f49-4683-9ec8-d88920d24f67</t>
        </is>
      </c>
      <c r="I11" s="77" t="inlineStr">
        <is>
          <t>S1</t>
        </is>
      </c>
      <c r="J11" s="1" t="inlineStr">
        <is>
          <t>90</t>
        </is>
      </c>
      <c r="K11" s="1" t="inlineStr">
        <is>
          <t>mm</t>
        </is>
      </c>
      <c r="L11" s="1" t="inlineStr">
        <is>
          <t>90</t>
        </is>
      </c>
      <c r="M11" s="1" t="inlineStr">
        <is>
          <t>FL</t>
        </is>
      </c>
      <c r="P11" t="inlineStr">
        <is>
          <t>RF</t>
        </is>
      </c>
      <c r="R11" s="1" t="inlineStr">
        <is>
          <t>150</t>
        </is>
      </c>
      <c r="T11" s="1" t="inlineStr">
        <is>
          <t>0</t>
        </is>
      </c>
      <c r="U11" s="1" t="inlineStr">
        <is>
          <t>0</t>
        </is>
      </c>
      <c r="V11" s="1" t="inlineStr">
        <is>
          <t>mm</t>
        </is>
      </c>
      <c r="W11" t="inlineStr">
        <is>
          <t>fdd02748-3e53-43f3-80d5-67653c55139a</t>
        </is>
      </c>
      <c r="X11" s="77" t="inlineStr">
        <is>
          <t>S2</t>
        </is>
      </c>
      <c r="Y11" s="1" t="inlineStr">
        <is>
          <t>90</t>
        </is>
      </c>
      <c r="Z11" s="1" t="inlineStr">
        <is>
          <t>mm</t>
        </is>
      </c>
      <c r="AA11" s="1" t="inlineStr">
        <is>
          <t>90</t>
        </is>
      </c>
      <c r="AB11" s="1" t="inlineStr">
        <is>
          <t>SO</t>
        </is>
      </c>
      <c r="AI11" s="1" t="inlineStr">
        <is>
          <t>0</t>
        </is>
      </c>
      <c r="AJ11" s="1" t="inlineStr">
        <is>
          <t>0</t>
        </is>
      </c>
      <c r="AK11" s="1" t="inlineStr">
        <is>
          <t>mm</t>
        </is>
      </c>
      <c r="AL11" s="1" t="inlineStr">
        <is>
          <t>SO_FLRF_CL150</t>
        </is>
      </c>
      <c r="AO11" s="1" t="inlineStr">
        <is>
          <t>Flange. Slip-on Hub CL150 RF smooth (3.2-6.3 um) CS ASTM A105N Dims to ASME B16.5</t>
        </is>
      </c>
      <c r="AP11" s="1">
        <f>REPLACE(AO11, 16, 0, " DN" &amp; E11)</f>
        <v/>
      </c>
      <c r="AQ11" s="1" t="inlineStr">
        <is>
          <t>CS</t>
        </is>
      </c>
      <c r="AW11" t="inlineStr">
        <is>
          <t>ff921f0e-4cfd-4d5d-a134-be21e7eec3ba</t>
        </is>
      </c>
      <c r="BC11" t="inlineStr">
        <is>
          <t>2</t>
        </is>
      </c>
      <c r="BE11" t="inlineStr">
        <is>
          <t>Flanges</t>
        </is>
      </c>
      <c r="BI11" t="inlineStr">
        <is>
          <t>Flange</t>
        </is>
      </c>
    </row>
    <row r="12">
      <c r="B12" s="1" t="inlineStr">
        <is>
          <t>100</t>
        </is>
      </c>
      <c r="C12" s="1" t="inlineStr">
        <is>
          <t>CUST_SO_FLRF_CL150</t>
        </is>
      </c>
      <c r="D12" s="1" t="inlineStr">
        <is>
          <t>C:\AutoCAD Plant 3D 2026 Content\CPak Common\CustomScripts\CUST_SO_FLRF_CL150.py</t>
        </is>
      </c>
      <c r="E12" s="1" t="inlineStr">
        <is>
          <t>100</t>
        </is>
      </c>
      <c r="F12" s="6" t="n">
        <v>26</v>
      </c>
      <c r="G12" t="inlineStr">
        <is>
          <t>DN,CEL</t>
        </is>
      </c>
      <c r="H12" t="inlineStr">
        <is>
          <t>aaa4ba80-abf5-46a1-a7ca-43a8335eea87</t>
        </is>
      </c>
      <c r="I12" s="77" t="inlineStr">
        <is>
          <t>S1</t>
        </is>
      </c>
      <c r="J12" s="1" t="inlineStr">
        <is>
          <t>100</t>
        </is>
      </c>
      <c r="K12" s="1" t="inlineStr">
        <is>
          <t>mm</t>
        </is>
      </c>
      <c r="L12" s="1" t="inlineStr">
        <is>
          <t>114.3</t>
        </is>
      </c>
      <c r="M12" s="1" t="inlineStr">
        <is>
          <t>FL</t>
        </is>
      </c>
      <c r="P12" t="inlineStr">
        <is>
          <t>RF</t>
        </is>
      </c>
      <c r="R12" s="1" t="inlineStr">
        <is>
          <t>150</t>
        </is>
      </c>
      <c r="T12" s="1" t="inlineStr">
        <is>
          <t>0</t>
        </is>
      </c>
      <c r="U12" s="1" t="inlineStr">
        <is>
          <t>0</t>
        </is>
      </c>
      <c r="V12" s="1" t="inlineStr">
        <is>
          <t>mm</t>
        </is>
      </c>
      <c r="W12" t="inlineStr">
        <is>
          <t>a450b14b-0def-419c-8ba4-5cfb9d61f41b</t>
        </is>
      </c>
      <c r="X12" s="77" t="inlineStr">
        <is>
          <t>S2</t>
        </is>
      </c>
      <c r="Y12" s="1" t="inlineStr">
        <is>
          <t>100</t>
        </is>
      </c>
      <c r="Z12" s="1" t="inlineStr">
        <is>
          <t>mm</t>
        </is>
      </c>
      <c r="AA12" s="1" t="inlineStr">
        <is>
          <t>114.3</t>
        </is>
      </c>
      <c r="AB12" s="1" t="inlineStr">
        <is>
          <t>SO</t>
        </is>
      </c>
      <c r="AI12" s="1" t="inlineStr">
        <is>
          <t>0</t>
        </is>
      </c>
      <c r="AJ12" s="1" t="inlineStr">
        <is>
          <t>0</t>
        </is>
      </c>
      <c r="AK12" s="1" t="inlineStr">
        <is>
          <t>mm</t>
        </is>
      </c>
      <c r="AL12" s="1" t="inlineStr">
        <is>
          <t>SO_FLRF_CL150</t>
        </is>
      </c>
      <c r="AO12" s="1" t="inlineStr">
        <is>
          <t>Flange. Slip-on Hub CL150 RF smooth (3.2-6.3 um) CS ASTM A105N Dims to ASME B16.5</t>
        </is>
      </c>
      <c r="AP12" s="1">
        <f>REPLACE(AO12, 16, 0, " DN" &amp; E12)</f>
        <v/>
      </c>
      <c r="AQ12" s="1" t="inlineStr">
        <is>
          <t>CS</t>
        </is>
      </c>
      <c r="AW12" t="inlineStr">
        <is>
          <t>ff921f0e-4cfd-4d5d-a134-be21e7eec3ba</t>
        </is>
      </c>
      <c r="BC12" t="inlineStr">
        <is>
          <t>2</t>
        </is>
      </c>
      <c r="BE12" t="inlineStr">
        <is>
          <t>Flanges</t>
        </is>
      </c>
      <c r="BI12" t="inlineStr">
        <is>
          <t>Flange</t>
        </is>
      </c>
    </row>
    <row r="13">
      <c r="B13" s="1" t="inlineStr">
        <is>
          <t>125</t>
        </is>
      </c>
      <c r="C13" s="1" t="inlineStr">
        <is>
          <t>CUST_SO_FLRF_CL150</t>
        </is>
      </c>
      <c r="D13" s="1" t="inlineStr">
        <is>
          <t>C:\AutoCAD Plant 3D 2026 Content\CPak Common\CustomScripts\CUST_SO_FLRF_CL150.py</t>
        </is>
      </c>
      <c r="E13" s="1" t="inlineStr">
        <is>
          <t>125</t>
        </is>
      </c>
      <c r="F13" s="6" t="n">
        <v>29</v>
      </c>
      <c r="G13" t="inlineStr">
        <is>
          <t>DN,CEL</t>
        </is>
      </c>
      <c r="H13" t="inlineStr">
        <is>
          <t>c7f5f2d0-8d10-41eb-a1b7-622b4761f8b4</t>
        </is>
      </c>
      <c r="I13" s="77" t="inlineStr">
        <is>
          <t>S1</t>
        </is>
      </c>
      <c r="J13" s="1" t="inlineStr">
        <is>
          <t>125</t>
        </is>
      </c>
      <c r="K13" s="1" t="inlineStr">
        <is>
          <t>mm</t>
        </is>
      </c>
      <c r="L13" s="1" t="inlineStr">
        <is>
          <t>125</t>
        </is>
      </c>
      <c r="M13" s="1" t="inlineStr">
        <is>
          <t>FL</t>
        </is>
      </c>
      <c r="P13" t="inlineStr">
        <is>
          <t>RF</t>
        </is>
      </c>
      <c r="R13" s="1" t="inlineStr">
        <is>
          <t>150</t>
        </is>
      </c>
      <c r="T13" s="1" t="inlineStr">
        <is>
          <t>0</t>
        </is>
      </c>
      <c r="U13" s="1" t="inlineStr">
        <is>
          <t>0</t>
        </is>
      </c>
      <c r="V13" s="1" t="inlineStr">
        <is>
          <t>mm</t>
        </is>
      </c>
      <c r="W13" t="inlineStr">
        <is>
          <t>6e8b8ffd-3373-49b3-aecf-ba09ae2aa65b</t>
        </is>
      </c>
      <c r="X13" s="77" t="inlineStr">
        <is>
          <t>S2</t>
        </is>
      </c>
      <c r="Y13" s="1" t="inlineStr">
        <is>
          <t>125</t>
        </is>
      </c>
      <c r="Z13" s="1" t="inlineStr">
        <is>
          <t>mm</t>
        </is>
      </c>
      <c r="AA13" s="1" t="inlineStr">
        <is>
          <t>125</t>
        </is>
      </c>
      <c r="AB13" s="1" t="inlineStr">
        <is>
          <t>SO</t>
        </is>
      </c>
      <c r="AI13" s="1" t="inlineStr">
        <is>
          <t>0</t>
        </is>
      </c>
      <c r="AJ13" s="1" t="inlineStr">
        <is>
          <t>0</t>
        </is>
      </c>
      <c r="AK13" s="1" t="inlineStr">
        <is>
          <t>mm</t>
        </is>
      </c>
      <c r="AL13" s="1" t="inlineStr">
        <is>
          <t>SO_FLRF_CL150</t>
        </is>
      </c>
      <c r="AO13" s="1" t="inlineStr">
        <is>
          <t>Flange. Slip-on Hub CL150 RF smooth (3.2-6.3 um) CS ASTM A105N Dims to ASME B16.5</t>
        </is>
      </c>
      <c r="AP13" s="1">
        <f>REPLACE(AO13, 16, 0, " DN" &amp; E13)</f>
        <v/>
      </c>
      <c r="AQ13" s="1" t="inlineStr">
        <is>
          <t>CS</t>
        </is>
      </c>
      <c r="AW13" t="inlineStr">
        <is>
          <t>ff921f0e-4cfd-4d5d-a134-be21e7eec3ba</t>
        </is>
      </c>
      <c r="BC13" t="inlineStr">
        <is>
          <t>2</t>
        </is>
      </c>
      <c r="BE13" t="inlineStr">
        <is>
          <t>Flanges</t>
        </is>
      </c>
      <c r="BI13" t="inlineStr">
        <is>
          <t>Flange</t>
        </is>
      </c>
    </row>
    <row r="14">
      <c r="B14" s="1" t="inlineStr">
        <is>
          <t>150</t>
        </is>
      </c>
      <c r="C14" s="1" t="inlineStr">
        <is>
          <t>CUST_SO_FLRF_CL150</t>
        </is>
      </c>
      <c r="D14" s="1" t="inlineStr">
        <is>
          <t>C:\AutoCAD Plant 3D 2026 Content\CPak Common\CustomScripts\CUST_SO_FLRF_CL150.py</t>
        </is>
      </c>
      <c r="E14" s="1" t="inlineStr">
        <is>
          <t>150</t>
        </is>
      </c>
      <c r="F14" s="6" t="n">
        <v>32</v>
      </c>
      <c r="G14" t="inlineStr">
        <is>
          <t>DN,CEL</t>
        </is>
      </c>
      <c r="H14" t="inlineStr">
        <is>
          <t>ab3f26e1-2bb6-43b5-9307-0634cfdf546f</t>
        </is>
      </c>
      <c r="I14" s="77" t="inlineStr">
        <is>
          <t>S1</t>
        </is>
      </c>
      <c r="J14" s="1" t="inlineStr">
        <is>
          <t>150</t>
        </is>
      </c>
      <c r="K14" s="1" t="inlineStr">
        <is>
          <t>mm</t>
        </is>
      </c>
      <c r="L14" s="1" t="inlineStr">
        <is>
          <t>168.3</t>
        </is>
      </c>
      <c r="M14" s="1" t="inlineStr">
        <is>
          <t>FL</t>
        </is>
      </c>
      <c r="P14" t="inlineStr">
        <is>
          <t>RF</t>
        </is>
      </c>
      <c r="R14" s="1" t="inlineStr">
        <is>
          <t>150</t>
        </is>
      </c>
      <c r="T14" s="1" t="inlineStr">
        <is>
          <t>0</t>
        </is>
      </c>
      <c r="U14" s="1" t="inlineStr">
        <is>
          <t>0</t>
        </is>
      </c>
      <c r="V14" s="1" t="inlineStr">
        <is>
          <t>mm</t>
        </is>
      </c>
      <c r="W14" t="inlineStr">
        <is>
          <t>42aed017-c541-49ad-9e00-966b831bcd65</t>
        </is>
      </c>
      <c r="X14" s="77" t="inlineStr">
        <is>
          <t>S2</t>
        </is>
      </c>
      <c r="Y14" s="1" t="inlineStr">
        <is>
          <t>150</t>
        </is>
      </c>
      <c r="Z14" s="1" t="inlineStr">
        <is>
          <t>mm</t>
        </is>
      </c>
      <c r="AA14" s="1" t="inlineStr">
        <is>
          <t>168.3</t>
        </is>
      </c>
      <c r="AB14" s="1" t="inlineStr">
        <is>
          <t>SO</t>
        </is>
      </c>
      <c r="AI14" s="1" t="inlineStr">
        <is>
          <t>0</t>
        </is>
      </c>
      <c r="AJ14" s="1" t="inlineStr">
        <is>
          <t>0</t>
        </is>
      </c>
      <c r="AK14" s="1" t="inlineStr">
        <is>
          <t>mm</t>
        </is>
      </c>
      <c r="AL14" s="1" t="inlineStr">
        <is>
          <t>SO_FLRF_CL150</t>
        </is>
      </c>
      <c r="AO14" s="1" t="inlineStr">
        <is>
          <t>Flange. Slip-on Hub CL150 RF smooth (3.2-6.3 um) CS ASTM A105N Dims to ASME B16.5</t>
        </is>
      </c>
      <c r="AP14" s="1">
        <f>REPLACE(AO14, 16, 0, " DN" &amp; E14)</f>
        <v/>
      </c>
      <c r="AQ14" s="1" t="inlineStr">
        <is>
          <t>CS</t>
        </is>
      </c>
      <c r="AW14" t="inlineStr">
        <is>
          <t>ff921f0e-4cfd-4d5d-a134-be21e7eec3ba</t>
        </is>
      </c>
      <c r="BC14" t="inlineStr">
        <is>
          <t>2</t>
        </is>
      </c>
      <c r="BE14" t="inlineStr">
        <is>
          <t>Flanges</t>
        </is>
      </c>
      <c r="BI14" t="inlineStr">
        <is>
          <t>Flange</t>
        </is>
      </c>
    </row>
    <row r="15">
      <c r="B15" s="1" t="inlineStr">
        <is>
          <t>200</t>
        </is>
      </c>
      <c r="C15" s="1" t="inlineStr">
        <is>
          <t>CUST_SO_FLRF_CL150</t>
        </is>
      </c>
      <c r="D15" s="1" t="inlineStr">
        <is>
          <t>C:\AutoCAD Plant 3D 2026 Content\CPak Common\CustomScripts\CUST_SO_FLRF_CL150.py</t>
        </is>
      </c>
      <c r="E15" s="1" t="inlineStr">
        <is>
          <t>200</t>
        </is>
      </c>
      <c r="F15" s="6" t="n">
        <v>37</v>
      </c>
      <c r="G15" t="inlineStr">
        <is>
          <t>DN,CEL</t>
        </is>
      </c>
      <c r="H15" t="inlineStr">
        <is>
          <t>bf25e346-c7b9-4109-b503-e27f7e5be476</t>
        </is>
      </c>
      <c r="I15" s="77" t="inlineStr">
        <is>
          <t>S1</t>
        </is>
      </c>
      <c r="J15" s="1" t="inlineStr">
        <is>
          <t>200</t>
        </is>
      </c>
      <c r="K15" s="1" t="inlineStr">
        <is>
          <t>mm</t>
        </is>
      </c>
      <c r="L15" s="1" t="inlineStr">
        <is>
          <t>219.1</t>
        </is>
      </c>
      <c r="M15" s="1" t="inlineStr">
        <is>
          <t>FL</t>
        </is>
      </c>
      <c r="P15" t="inlineStr">
        <is>
          <t>RF</t>
        </is>
      </c>
      <c r="R15" s="1" t="inlineStr">
        <is>
          <t>150</t>
        </is>
      </c>
      <c r="T15" s="1" t="inlineStr">
        <is>
          <t>0</t>
        </is>
      </c>
      <c r="U15" s="1" t="inlineStr">
        <is>
          <t>0</t>
        </is>
      </c>
      <c r="V15" s="1" t="inlineStr">
        <is>
          <t>mm</t>
        </is>
      </c>
      <c r="W15" t="inlineStr">
        <is>
          <t>67ab0f9e-6321-4821-9c47-7dab0d016327</t>
        </is>
      </c>
      <c r="X15" s="77" t="inlineStr">
        <is>
          <t>S2</t>
        </is>
      </c>
      <c r="Y15" s="1" t="inlineStr">
        <is>
          <t>200</t>
        </is>
      </c>
      <c r="Z15" s="1" t="inlineStr">
        <is>
          <t>mm</t>
        </is>
      </c>
      <c r="AA15" s="1" t="inlineStr">
        <is>
          <t>219.1</t>
        </is>
      </c>
      <c r="AB15" s="1" t="inlineStr">
        <is>
          <t>SO</t>
        </is>
      </c>
      <c r="AI15" s="1" t="inlineStr">
        <is>
          <t>0</t>
        </is>
      </c>
      <c r="AJ15" s="1" t="inlineStr">
        <is>
          <t>0</t>
        </is>
      </c>
      <c r="AK15" s="1" t="inlineStr">
        <is>
          <t>mm</t>
        </is>
      </c>
      <c r="AL15" s="1" t="inlineStr">
        <is>
          <t>SO_FLRF_CL150</t>
        </is>
      </c>
      <c r="AO15" s="1" t="inlineStr">
        <is>
          <t>Flange. Slip-on Hub CL150 RF smooth (3.2-6.3 um) CS ASTM A105N Dims to ASME B16.5</t>
        </is>
      </c>
      <c r="AP15" s="1">
        <f>REPLACE(AO15, 16, 0, " DN" &amp; E15)</f>
        <v/>
      </c>
      <c r="AQ15" s="1" t="inlineStr">
        <is>
          <t>CS</t>
        </is>
      </c>
      <c r="AW15" t="inlineStr">
        <is>
          <t>ff921f0e-4cfd-4d5d-a134-be21e7eec3ba</t>
        </is>
      </c>
      <c r="BC15" t="inlineStr">
        <is>
          <t>2</t>
        </is>
      </c>
      <c r="BE15" t="inlineStr">
        <is>
          <t>Flanges</t>
        </is>
      </c>
      <c r="BI15" t="inlineStr">
        <is>
          <t>Flange</t>
        </is>
      </c>
    </row>
    <row r="16">
      <c r="B16" s="1" t="inlineStr">
        <is>
          <t>250</t>
        </is>
      </c>
      <c r="C16" s="1" t="inlineStr">
        <is>
          <t>CUST_SO_FLRF_CL150</t>
        </is>
      </c>
      <c r="D16" s="1" t="inlineStr">
        <is>
          <t>C:\AutoCAD Plant 3D 2026 Content\CPak Common\CustomScripts\CUST_SO_FLRF_CL150.py</t>
        </is>
      </c>
      <c r="E16" s="1" t="inlineStr">
        <is>
          <t>250</t>
        </is>
      </c>
      <c r="F16" s="6" t="n">
        <v>42</v>
      </c>
      <c r="G16" t="inlineStr">
        <is>
          <t>DN,CEL</t>
        </is>
      </c>
      <c r="H16" t="inlineStr">
        <is>
          <t>3a6dec95-99f1-4f1c-8f4c-99a68e255806</t>
        </is>
      </c>
      <c r="I16" s="77" t="inlineStr">
        <is>
          <t>S1</t>
        </is>
      </c>
      <c r="J16" s="1" t="inlineStr">
        <is>
          <t>250</t>
        </is>
      </c>
      <c r="K16" s="1" t="inlineStr">
        <is>
          <t>mm</t>
        </is>
      </c>
      <c r="L16" s="1" t="inlineStr">
        <is>
          <t>273.1</t>
        </is>
      </c>
      <c r="M16" s="1" t="inlineStr">
        <is>
          <t>FL</t>
        </is>
      </c>
      <c r="P16" t="inlineStr">
        <is>
          <t>RF</t>
        </is>
      </c>
      <c r="R16" s="1" t="inlineStr">
        <is>
          <t>150</t>
        </is>
      </c>
      <c r="T16" s="1" t="inlineStr">
        <is>
          <t>0</t>
        </is>
      </c>
      <c r="U16" s="1" t="inlineStr">
        <is>
          <t>0</t>
        </is>
      </c>
      <c r="V16" s="1" t="inlineStr">
        <is>
          <t>mm</t>
        </is>
      </c>
      <c r="W16" t="inlineStr">
        <is>
          <t>a98d297e-6fdc-4ef9-ab68-3d71a5d2391d</t>
        </is>
      </c>
      <c r="X16" s="77" t="inlineStr">
        <is>
          <t>S2</t>
        </is>
      </c>
      <c r="Y16" s="1" t="inlineStr">
        <is>
          <t>250</t>
        </is>
      </c>
      <c r="Z16" s="1" t="inlineStr">
        <is>
          <t>mm</t>
        </is>
      </c>
      <c r="AA16" s="1" t="inlineStr">
        <is>
          <t>273.1</t>
        </is>
      </c>
      <c r="AB16" s="1" t="inlineStr">
        <is>
          <t>SO</t>
        </is>
      </c>
      <c r="AI16" s="1" t="inlineStr">
        <is>
          <t>0</t>
        </is>
      </c>
      <c r="AJ16" s="1" t="inlineStr">
        <is>
          <t>0</t>
        </is>
      </c>
      <c r="AK16" s="1" t="inlineStr">
        <is>
          <t>mm</t>
        </is>
      </c>
      <c r="AL16" s="1" t="inlineStr">
        <is>
          <t>SO_FLRF_CL150</t>
        </is>
      </c>
      <c r="AO16" s="1" t="inlineStr">
        <is>
          <t>Flange. Slip-on Hub CL150 RF smooth (3.2-6.3 um) CS ASTM A105N Dims to ASME B16.5</t>
        </is>
      </c>
      <c r="AP16" s="1">
        <f>REPLACE(AO16, 16, 0, " DN" &amp; E16)</f>
        <v/>
      </c>
      <c r="AQ16" s="1" t="inlineStr">
        <is>
          <t>CS</t>
        </is>
      </c>
      <c r="AW16" t="inlineStr">
        <is>
          <t>ff921f0e-4cfd-4d5d-a134-be21e7eec3ba</t>
        </is>
      </c>
      <c r="BC16" t="inlineStr">
        <is>
          <t>2</t>
        </is>
      </c>
      <c r="BE16" t="inlineStr">
        <is>
          <t>Flanges</t>
        </is>
      </c>
      <c r="BI16" t="inlineStr">
        <is>
          <t>Flange</t>
        </is>
      </c>
    </row>
    <row r="17">
      <c r="B17" s="1" t="inlineStr">
        <is>
          <t>300</t>
        </is>
      </c>
      <c r="C17" s="1" t="inlineStr">
        <is>
          <t>CUST_SO_FLRF_CL150</t>
        </is>
      </c>
      <c r="D17" s="1" t="inlineStr">
        <is>
          <t>C:\AutoCAD Plant 3D 2026 Content\CPak Common\CustomScripts\CUST_SO_FLRF_CL150.py</t>
        </is>
      </c>
      <c r="E17" s="1" t="inlineStr">
        <is>
          <t>300</t>
        </is>
      </c>
      <c r="F17" s="6" t="n">
        <v>48</v>
      </c>
      <c r="G17" t="inlineStr">
        <is>
          <t>DN,CEL</t>
        </is>
      </c>
      <c r="H17" t="inlineStr">
        <is>
          <t>6b53adcc-ab04-480d-b033-f7123c87c544</t>
        </is>
      </c>
      <c r="I17" s="77" t="inlineStr">
        <is>
          <t>S1</t>
        </is>
      </c>
      <c r="J17" s="1" t="inlineStr">
        <is>
          <t>300</t>
        </is>
      </c>
      <c r="K17" s="1" t="inlineStr">
        <is>
          <t>mm</t>
        </is>
      </c>
      <c r="L17" s="1" t="inlineStr">
        <is>
          <t>323.9</t>
        </is>
      </c>
      <c r="M17" s="1" t="inlineStr">
        <is>
          <t>FL</t>
        </is>
      </c>
      <c r="P17" t="inlineStr">
        <is>
          <t>RF</t>
        </is>
      </c>
      <c r="R17" s="1" t="inlineStr">
        <is>
          <t>150</t>
        </is>
      </c>
      <c r="T17" s="1" t="inlineStr">
        <is>
          <t>0</t>
        </is>
      </c>
      <c r="U17" s="1" t="inlineStr">
        <is>
          <t>0</t>
        </is>
      </c>
      <c r="V17" s="1" t="inlineStr">
        <is>
          <t>mm</t>
        </is>
      </c>
      <c r="W17" t="inlineStr">
        <is>
          <t>1ea39ba9-e562-4ba5-a1cb-cc165a6e354f</t>
        </is>
      </c>
      <c r="X17" s="77" t="inlineStr">
        <is>
          <t>S2</t>
        </is>
      </c>
      <c r="Y17" s="1" t="inlineStr">
        <is>
          <t>300</t>
        </is>
      </c>
      <c r="Z17" s="1" t="inlineStr">
        <is>
          <t>mm</t>
        </is>
      </c>
      <c r="AA17" s="1" t="inlineStr">
        <is>
          <t>323.9</t>
        </is>
      </c>
      <c r="AB17" s="1" t="inlineStr">
        <is>
          <t>SO</t>
        </is>
      </c>
      <c r="AI17" s="1" t="inlineStr">
        <is>
          <t>0</t>
        </is>
      </c>
      <c r="AJ17" s="1" t="inlineStr">
        <is>
          <t>0</t>
        </is>
      </c>
      <c r="AK17" s="1" t="inlineStr">
        <is>
          <t>mm</t>
        </is>
      </c>
      <c r="AL17" s="1" t="inlineStr">
        <is>
          <t>SO_FLRF_CL150</t>
        </is>
      </c>
      <c r="AO17" s="1" t="inlineStr">
        <is>
          <t>Flange. Slip-on Hub CL150 RF smooth (3.2-6.3 um) CS ASTM A105N Dims to ASME B16.5</t>
        </is>
      </c>
      <c r="AP17" s="1">
        <f>REPLACE(AO17, 16, 0, " DN" &amp; E17)</f>
        <v/>
      </c>
      <c r="AQ17" s="1" t="inlineStr">
        <is>
          <t>CS</t>
        </is>
      </c>
      <c r="AW17" t="inlineStr">
        <is>
          <t>ff921f0e-4cfd-4d5d-a134-be21e7eec3ba</t>
        </is>
      </c>
      <c r="BC17" t="inlineStr">
        <is>
          <t>2</t>
        </is>
      </c>
      <c r="BE17" t="inlineStr">
        <is>
          <t>Flanges</t>
        </is>
      </c>
      <c r="BI17" t="inlineStr">
        <is>
          <t>Flange</t>
        </is>
      </c>
    </row>
    <row r="18">
      <c r="B18" s="1" t="inlineStr">
        <is>
          <t>350</t>
        </is>
      </c>
      <c r="C18" s="1" t="inlineStr">
        <is>
          <t>CUST_SO_FLRF_CL150</t>
        </is>
      </c>
      <c r="D18" s="1" t="inlineStr">
        <is>
          <t>C:\AutoCAD Plant 3D 2026 Content\CPak Common\CustomScripts\CUST_SO_FLRF_CL150.py</t>
        </is>
      </c>
      <c r="E18" s="1" t="inlineStr">
        <is>
          <t>350</t>
        </is>
      </c>
      <c r="F18" s="6" t="n">
        <v>50</v>
      </c>
      <c r="G18" t="inlineStr">
        <is>
          <t>DN,CEL</t>
        </is>
      </c>
      <c r="H18" t="inlineStr">
        <is>
          <t>ed3add24-3bef-4bd7-a757-5fb48c018f42</t>
        </is>
      </c>
      <c r="I18" s="77" t="inlineStr">
        <is>
          <t>S1</t>
        </is>
      </c>
      <c r="J18" s="1" t="inlineStr">
        <is>
          <t>350</t>
        </is>
      </c>
      <c r="K18" s="1" t="inlineStr">
        <is>
          <t>mm</t>
        </is>
      </c>
      <c r="L18" s="1" t="inlineStr">
        <is>
          <t>355.6</t>
        </is>
      </c>
      <c r="M18" s="1" t="inlineStr">
        <is>
          <t>FL</t>
        </is>
      </c>
      <c r="P18" t="inlineStr">
        <is>
          <t>RF</t>
        </is>
      </c>
      <c r="R18" s="1" t="inlineStr">
        <is>
          <t>150</t>
        </is>
      </c>
      <c r="T18" s="1" t="inlineStr">
        <is>
          <t>0</t>
        </is>
      </c>
      <c r="U18" s="1" t="inlineStr">
        <is>
          <t>0</t>
        </is>
      </c>
      <c r="V18" s="1" t="inlineStr">
        <is>
          <t>mm</t>
        </is>
      </c>
      <c r="W18" t="inlineStr">
        <is>
          <t>db8c8189-184e-48a3-aa8b-71c5b3b4af14</t>
        </is>
      </c>
      <c r="X18" s="77" t="inlineStr">
        <is>
          <t>S2</t>
        </is>
      </c>
      <c r="Y18" s="1" t="inlineStr">
        <is>
          <t>350</t>
        </is>
      </c>
      <c r="Z18" s="1" t="inlineStr">
        <is>
          <t>mm</t>
        </is>
      </c>
      <c r="AA18" s="1" t="inlineStr">
        <is>
          <t>355.6</t>
        </is>
      </c>
      <c r="AB18" s="1" t="inlineStr">
        <is>
          <t>SO</t>
        </is>
      </c>
      <c r="AI18" s="1" t="inlineStr">
        <is>
          <t>0</t>
        </is>
      </c>
      <c r="AJ18" s="1" t="inlineStr">
        <is>
          <t>0</t>
        </is>
      </c>
      <c r="AK18" s="1" t="inlineStr">
        <is>
          <t>mm</t>
        </is>
      </c>
      <c r="AL18" s="1" t="inlineStr">
        <is>
          <t>SO_FLRF_CL150</t>
        </is>
      </c>
      <c r="AO18" s="1" t="inlineStr">
        <is>
          <t>Flange. Slip-on Hub CL150 RF smooth (3.2-6.3 um) CS ASTM A105N Dims to ASME B16.5</t>
        </is>
      </c>
      <c r="AP18" s="1">
        <f>REPLACE(AO18, 16, 0, " DN" &amp; E18)</f>
        <v/>
      </c>
      <c r="AQ18" s="1" t="inlineStr">
        <is>
          <t>CS</t>
        </is>
      </c>
      <c r="AW18" t="inlineStr">
        <is>
          <t>ff921f0e-4cfd-4d5d-a134-be21e7eec3ba</t>
        </is>
      </c>
      <c r="BC18" t="inlineStr">
        <is>
          <t>2</t>
        </is>
      </c>
      <c r="BE18" t="inlineStr">
        <is>
          <t>Flanges</t>
        </is>
      </c>
      <c r="BI18" t="inlineStr">
        <is>
          <t>Flange</t>
        </is>
      </c>
    </row>
    <row r="19">
      <c r="B19" s="1" t="inlineStr">
        <is>
          <t>400</t>
        </is>
      </c>
      <c r="C19" s="1" t="inlineStr">
        <is>
          <t>CUST_SO_FLRF_CL150</t>
        </is>
      </c>
      <c r="D19" s="1" t="inlineStr">
        <is>
          <t>C:\AutoCAD Plant 3D 2026 Content\CPak Common\CustomScripts\CUST_SO_FLRF_CL150.py</t>
        </is>
      </c>
      <c r="E19" s="1" t="inlineStr">
        <is>
          <t>400</t>
        </is>
      </c>
      <c r="F19" s="6" t="n">
        <v>56</v>
      </c>
      <c r="G19" t="inlineStr">
        <is>
          <t>DN,CEL</t>
        </is>
      </c>
      <c r="H19" t="inlineStr">
        <is>
          <t>4be40c43-6063-4503-9ac7-05c0cdfd8aa6</t>
        </is>
      </c>
      <c r="I19" s="77" t="inlineStr">
        <is>
          <t>S1</t>
        </is>
      </c>
      <c r="J19" s="1" t="inlineStr">
        <is>
          <t>400</t>
        </is>
      </c>
      <c r="K19" s="1" t="inlineStr">
        <is>
          <t>mm</t>
        </is>
      </c>
      <c r="L19" s="1" t="inlineStr">
        <is>
          <t>406.4</t>
        </is>
      </c>
      <c r="M19" s="1" t="inlineStr">
        <is>
          <t>FL</t>
        </is>
      </c>
      <c r="P19" t="inlineStr">
        <is>
          <t>RF</t>
        </is>
      </c>
      <c r="R19" s="1" t="inlineStr">
        <is>
          <t>150</t>
        </is>
      </c>
      <c r="T19" s="1" t="inlineStr">
        <is>
          <t>0</t>
        </is>
      </c>
      <c r="U19" s="1" t="inlineStr">
        <is>
          <t>0</t>
        </is>
      </c>
      <c r="V19" s="1" t="inlineStr">
        <is>
          <t>mm</t>
        </is>
      </c>
      <c r="W19" t="inlineStr">
        <is>
          <t>fc35d98b-85ca-46b0-a11c-b677ad85a632</t>
        </is>
      </c>
      <c r="X19" s="77" t="inlineStr">
        <is>
          <t>S2</t>
        </is>
      </c>
      <c r="Y19" s="1" t="inlineStr">
        <is>
          <t>400</t>
        </is>
      </c>
      <c r="Z19" s="1" t="inlineStr">
        <is>
          <t>mm</t>
        </is>
      </c>
      <c r="AA19" s="1" t="inlineStr">
        <is>
          <t>406.4</t>
        </is>
      </c>
      <c r="AB19" s="1" t="inlineStr">
        <is>
          <t>SO</t>
        </is>
      </c>
      <c r="AI19" s="1" t="inlineStr">
        <is>
          <t>0</t>
        </is>
      </c>
      <c r="AJ19" s="1" t="inlineStr">
        <is>
          <t>0</t>
        </is>
      </c>
      <c r="AK19" s="1" t="inlineStr">
        <is>
          <t>mm</t>
        </is>
      </c>
      <c r="AL19" s="1" t="inlineStr">
        <is>
          <t>SO_FLRF_CL150</t>
        </is>
      </c>
      <c r="AO19" s="1" t="inlineStr">
        <is>
          <t>Flange. Slip-on Hub CL150 RF smooth (3.2-6.3 um) CS ASTM A105N Dims to ASME B16.5</t>
        </is>
      </c>
      <c r="AP19" s="1">
        <f>REPLACE(AO19, 16, 0, " DN" &amp; E19)</f>
        <v/>
      </c>
      <c r="AQ19" s="1" t="inlineStr">
        <is>
          <t>CS</t>
        </is>
      </c>
      <c r="AW19" t="inlineStr">
        <is>
          <t>ff921f0e-4cfd-4d5d-a134-be21e7eec3ba</t>
        </is>
      </c>
      <c r="BC19" t="inlineStr">
        <is>
          <t>2</t>
        </is>
      </c>
      <c r="BE19" t="inlineStr">
        <is>
          <t>Flanges</t>
        </is>
      </c>
      <c r="BI19" t="inlineStr">
        <is>
          <t>Flange</t>
        </is>
      </c>
    </row>
    <row r="20">
      <c r="B20" s="1" t="inlineStr">
        <is>
          <t>450</t>
        </is>
      </c>
      <c r="C20" s="1" t="inlineStr">
        <is>
          <t>CUST_SO_FLRF_CL150</t>
        </is>
      </c>
      <c r="D20" s="1" t="inlineStr">
        <is>
          <t>C:\AutoCAD Plant 3D 2026 Content\CPak Common\CustomScripts\CUST_SO_FLRF_CL150.py</t>
        </is>
      </c>
      <c r="E20" s="1" t="inlineStr">
        <is>
          <t>450</t>
        </is>
      </c>
      <c r="F20" s="6" t="n">
        <v>61</v>
      </c>
      <c r="G20" t="inlineStr">
        <is>
          <t>DN,CEL</t>
        </is>
      </c>
      <c r="H20" t="inlineStr">
        <is>
          <t>7b03722a-49c2-4c93-ac13-f0f6b1bdd433</t>
        </is>
      </c>
      <c r="I20" s="77" t="inlineStr">
        <is>
          <t>S1</t>
        </is>
      </c>
      <c r="J20" s="1" t="inlineStr">
        <is>
          <t>450</t>
        </is>
      </c>
      <c r="K20" s="1" t="inlineStr">
        <is>
          <t>mm</t>
        </is>
      </c>
      <c r="L20" s="1" t="inlineStr">
        <is>
          <t>457.2</t>
        </is>
      </c>
      <c r="M20" s="1" t="inlineStr">
        <is>
          <t>FL</t>
        </is>
      </c>
      <c r="P20" t="inlineStr">
        <is>
          <t>RF</t>
        </is>
      </c>
      <c r="R20" s="1" t="inlineStr">
        <is>
          <t>150</t>
        </is>
      </c>
      <c r="T20" s="1" t="inlineStr">
        <is>
          <t>0</t>
        </is>
      </c>
      <c r="U20" s="1" t="inlineStr">
        <is>
          <t>0</t>
        </is>
      </c>
      <c r="V20" s="1" t="inlineStr">
        <is>
          <t>mm</t>
        </is>
      </c>
      <c r="W20" t="inlineStr">
        <is>
          <t>b6aec81f-4951-4823-9d98-cdb5b3add4b5</t>
        </is>
      </c>
      <c r="X20" s="77" t="inlineStr">
        <is>
          <t>S2</t>
        </is>
      </c>
      <c r="Y20" s="1" t="inlineStr">
        <is>
          <t>450</t>
        </is>
      </c>
      <c r="Z20" s="1" t="inlineStr">
        <is>
          <t>mm</t>
        </is>
      </c>
      <c r="AA20" s="1" t="inlineStr">
        <is>
          <t>457.2</t>
        </is>
      </c>
      <c r="AB20" s="1" t="inlineStr">
        <is>
          <t>SO</t>
        </is>
      </c>
      <c r="AI20" s="1" t="inlineStr">
        <is>
          <t>0</t>
        </is>
      </c>
      <c r="AJ20" s="1" t="inlineStr">
        <is>
          <t>0</t>
        </is>
      </c>
      <c r="AK20" s="1" t="inlineStr">
        <is>
          <t>mm</t>
        </is>
      </c>
      <c r="AL20" s="1" t="inlineStr">
        <is>
          <t>SO_FLRF_CL150</t>
        </is>
      </c>
      <c r="AO20" s="1" t="inlineStr">
        <is>
          <t>Flange. Slip-on Hub CL150 RF smooth (3.2-6.3 um) CS ASTM A105N Dims to ASME B16.5</t>
        </is>
      </c>
      <c r="AP20" s="1">
        <f>REPLACE(AO20, 16, 0, " DN" &amp; E20)</f>
        <v/>
      </c>
      <c r="AQ20" s="1" t="inlineStr">
        <is>
          <t>CS</t>
        </is>
      </c>
      <c r="AW20" t="inlineStr">
        <is>
          <t>ff921f0e-4cfd-4d5d-a134-be21e7eec3ba</t>
        </is>
      </c>
      <c r="BC20" t="inlineStr">
        <is>
          <t>2</t>
        </is>
      </c>
      <c r="BE20" t="inlineStr">
        <is>
          <t>Flanges</t>
        </is>
      </c>
      <c r="BI20" t="inlineStr">
        <is>
          <t>Flange</t>
        </is>
      </c>
    </row>
  </sheetData>
  <sheetProtection selectLockedCells="0" selectUnlockedCells="0" sheet="1" objects="1" insertRows="1" insertHyperlinks="1" autoFilter="1" scenarios="0" formatColumns="0" deleteColumns="0" insertColumns="0" pivotTables="1" deleteRows="1" formatCells="0" formatRows="1" sort="1"/>
  <dataValidations count="2">
    <dataValidation sqref="AT3:AT20" showDropDown="0" showInputMessage="1" showErrorMessage="1" allowBlank="1" errorTitle="" error="" promptTitle="" prompt="" type="list" errorStyle="stop" operator="between">
      <formula1>"LB,KG"</formula1>
    </dataValidation>
    <dataValidation sqref="J3:J20 L3:L20 Q3:Q20 T3:U20 Y3:Y20 AA3:AA20 AF3:AF20 AI3:AJ20 AS3:AS20 AY3:AY20 BC3:BC20" showDropDown="0" showInputMessage="1" showErrorMessage="1" allowBlank="1" errorTitle="" error="" promptTitle="" prompt="" type="decimal" errorStyle="stop" operator="between">
      <formula1>-5</formula1>
      <formula2>100000</formula2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5"/>
  <sheetViews>
    <sheetView topLeftCell="A2" workbookViewId="0">
      <selection activeCell="C23" sqref="C23"/>
    </sheetView>
  </sheetViews>
  <sheetFormatPr baseColWidth="8" defaultColWidth="9.139196" defaultRowHeight="15"/>
  <cols>
    <col width="9.140625" customWidth="1" style="1" min="1" max="1"/>
    <col width="5.425781" bestFit="1" customWidth="1" style="1" min="2" max="2"/>
    <col width="28.710938" bestFit="1" customWidth="1" style="1" min="3" max="3"/>
    <col width="117" bestFit="1" customWidth="1" style="1" min="4" max="4"/>
    <col width="3.710938" bestFit="1" customWidth="1" style="1" min="5" max="5"/>
    <col width="4.710938" bestFit="1" customWidth="1" style="1" min="6" max="6"/>
    <col width="32.425781" bestFit="1" customWidth="1" min="7" max="7"/>
    <col width="37.710938" bestFit="1" customWidth="1" min="8" max="8"/>
    <col width="15.855469" bestFit="1" customWidth="1" style="1" min="9" max="9"/>
    <col width="23" bestFit="1" customWidth="1" style="1" min="10" max="10"/>
    <col width="18.425781" bestFit="1" customWidth="1" style="1" min="11" max="11"/>
    <col width="22" bestFit="1" customWidth="1" style="1" min="12" max="12"/>
    <col width="14.425781" bestFit="1" customWidth="1" style="1" min="13" max="13"/>
    <col width="15.570312" bestFit="1" customWidth="1" style="1" min="14" max="14"/>
    <col width="15.855469" bestFit="1" customWidth="1" style="1" min="15" max="15"/>
    <col width="12.285156" bestFit="1" customWidth="1" style="1" min="16" max="16"/>
    <col width="21.570312" bestFit="1" customWidth="1" style="1" min="17" max="17"/>
    <col width="19.140625" bestFit="1" customWidth="1" style="1" min="18" max="18"/>
    <col width="15" bestFit="1" customWidth="1" style="1" min="19" max="19"/>
    <col width="19.710938" bestFit="1" customWidth="1" style="1" min="20" max="20"/>
    <col width="24.140625" bestFit="1" customWidth="1" style="1" min="21" max="21"/>
    <col width="16.710938" bestFit="1" customWidth="1" style="1" min="22" max="22"/>
    <col width="23.140625" bestFit="1" customWidth="1" style="1" min="23" max="23"/>
    <col width="19.425781" bestFit="1" customWidth="1" style="1" min="24" max="24"/>
    <col width="9.855468999999999" bestFit="1" customWidth="1" style="1" min="25" max="25"/>
    <col width="52.140625" bestFit="1" customWidth="1" style="1" min="26" max="26"/>
    <col width="16.570312" bestFit="1" customWidth="1" style="1" min="27" max="27"/>
    <col width="8.570311999999999" bestFit="1" customWidth="1" style="1" min="28" max="28"/>
    <col width="13.285156" bestFit="1" customWidth="1" style="1" min="29" max="29"/>
    <col width="7.570312" bestFit="1" customWidth="1" style="1" min="30" max="30"/>
    <col width="11.425781" bestFit="1" customWidth="1" style="1" min="31" max="31"/>
    <col width="5.285156" bestFit="1" customWidth="1" style="1" min="32" max="33"/>
    <col width="36.285156" bestFit="1" customWidth="1" min="34" max="34"/>
    <col width="19" bestFit="1" customWidth="1" min="35" max="35"/>
    <col width="10" bestFit="1" customWidth="1" min="36" max="36"/>
    <col width="13.285156" bestFit="1" customWidth="1" style="1" min="37" max="37"/>
    <col width="9.710938000000001" bestFit="1" customWidth="1" style="1" min="38" max="38"/>
    <col width="20.425781" bestFit="1" customWidth="1" style="1" min="39" max="39"/>
    <col width="20.425781" bestFit="1" customWidth="1" min="40" max="40"/>
    <col width="22.425781" bestFit="1" customWidth="1" style="1" min="41" max="41"/>
    <col width="12.425781" bestFit="1" customWidth="1" min="42" max="42"/>
    <col width="26.855469" bestFit="1" customWidth="1" min="43" max="43"/>
    <col width="11.425781" bestFit="1" customWidth="1" min="44" max="44"/>
    <col width="6.425781" bestFit="1" customWidth="1" style="1" min="45" max="45"/>
    <col width="7" bestFit="1" customWidth="1" style="1" min="46" max="46"/>
    <col width="13.285156" bestFit="1" customWidth="1" style="1" min="47" max="48"/>
    <col width="11.140625" bestFit="1" customWidth="1" style="1" min="49" max="49"/>
    <col width="14.285156" bestFit="1" customWidth="1" min="50" max="50"/>
    <col width="22.710938" bestFit="1" customWidth="1" min="51" max="51"/>
    <col width="9.140625" customWidth="1" min="52" max="82"/>
  </cols>
  <sheetData>
    <row r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DN</t>
        </is>
      </c>
      <c r="F1" s="1" t="inlineStr">
        <is>
          <t>DN2</t>
        </is>
      </c>
      <c r="G1" t="inlineStr">
        <is>
          <t>ContentGeometryParamDefinition</t>
        </is>
      </c>
      <c r="H1" t="inlineStr">
        <is>
          <t>SizeRecordId_S1</t>
        </is>
      </c>
      <c r="I1" s="77" t="inlineStr">
        <is>
          <t>PortName_S1</t>
        </is>
      </c>
      <c r="J1" s="1" t="inlineStr">
        <is>
          <t>NominalDiameter_S1</t>
        </is>
      </c>
      <c r="K1" s="1" t="inlineStr">
        <is>
          <t>NominalUnit_S1</t>
        </is>
      </c>
      <c r="L1" s="1" t="inlineStr">
        <is>
          <t>MatchingPipeOd_S1</t>
        </is>
      </c>
      <c r="M1" s="1" t="inlineStr">
        <is>
          <t>EndType_S1</t>
        </is>
      </c>
      <c r="N1" s="1" t="inlineStr">
        <is>
          <t>FlangeStd_S1</t>
        </is>
      </c>
      <c r="O1" s="1" t="inlineStr">
        <is>
          <t>GasketStd_S1</t>
        </is>
      </c>
      <c r="P1" s="1" t="inlineStr">
        <is>
          <t>Facing_S1</t>
        </is>
      </c>
      <c r="Q1" s="1" t="inlineStr">
        <is>
          <t>FlangeThickness_S1</t>
        </is>
      </c>
      <c r="R1" s="1" t="inlineStr">
        <is>
          <t>PressureClass_S1</t>
        </is>
      </c>
      <c r="S1" s="1" t="inlineStr">
        <is>
          <t>Schedule_S1</t>
        </is>
      </c>
      <c r="T1" s="1" t="inlineStr">
        <is>
          <t>WallThickness_S1</t>
        </is>
      </c>
      <c r="U1" s="1" t="inlineStr">
        <is>
          <t>EngagementLength_S1</t>
        </is>
      </c>
      <c r="V1" s="1" t="inlineStr">
        <is>
          <t>LengthUnit_S1</t>
        </is>
      </c>
      <c r="W1" t="inlineStr">
        <is>
          <t>SizeRecordId_S2</t>
        </is>
      </c>
      <c r="X1" t="inlineStr">
        <is>
          <t>PortName_S2</t>
        </is>
      </c>
      <c r="Y1" t="inlineStr">
        <is>
          <t>NominalDiameter_S2</t>
        </is>
      </c>
      <c r="Z1" t="inlineStr">
        <is>
          <t>NominalUnit_S2</t>
        </is>
      </c>
      <c r="AA1" t="inlineStr">
        <is>
          <t>MatchingPipeOd_S2</t>
        </is>
      </c>
      <c r="AB1" t="inlineStr">
        <is>
          <t>EndType_S2</t>
        </is>
      </c>
      <c r="AC1" t="inlineStr">
        <is>
          <t>FlangeStd_S2</t>
        </is>
      </c>
      <c r="AD1" t="inlineStr">
        <is>
          <t>GasketStd_S2</t>
        </is>
      </c>
      <c r="AE1" t="inlineStr">
        <is>
          <t>Facing_S2</t>
        </is>
      </c>
      <c r="AF1" t="inlineStr">
        <is>
          <t>FlangeThickness_S2</t>
        </is>
      </c>
      <c r="AG1" t="inlineStr">
        <is>
          <t>PressureClass_S2</t>
        </is>
      </c>
      <c r="AH1" t="inlineStr">
        <is>
          <t>Schedule_S2</t>
        </is>
      </c>
      <c r="AI1" t="inlineStr">
        <is>
          <t>WallThickness_S2</t>
        </is>
      </c>
      <c r="AJ1" t="inlineStr">
        <is>
          <t>EngagementLength_S2</t>
        </is>
      </c>
      <c r="AK1" t="inlineStr">
        <is>
          <t>LengthUnit_S2</t>
        </is>
      </c>
      <c r="AL1" t="inlineStr">
        <is>
          <t>SizeRecordId_S3</t>
        </is>
      </c>
      <c r="AM1" t="inlineStr">
        <is>
          <t>PortName_S3</t>
        </is>
      </c>
      <c r="AN1" t="inlineStr">
        <is>
          <t>NominalDiameter_S3</t>
        </is>
      </c>
      <c r="AO1" t="inlineStr">
        <is>
          <t>NominalUnit_S3</t>
        </is>
      </c>
      <c r="AP1" t="inlineStr">
        <is>
          <t>MatchingPipeOd_S3</t>
        </is>
      </c>
      <c r="AQ1" t="inlineStr">
        <is>
          <t>EndType_S3</t>
        </is>
      </c>
      <c r="AR1" t="inlineStr">
        <is>
          <t>FlangeStd_S3</t>
        </is>
      </c>
      <c r="AS1" t="inlineStr">
        <is>
          <t>GasketStd_S3</t>
        </is>
      </c>
      <c r="AT1" t="inlineStr">
        <is>
          <t>Facing_S3</t>
        </is>
      </c>
      <c r="AU1" t="inlineStr">
        <is>
          <t>FlangeThickness_S3</t>
        </is>
      </c>
      <c r="AV1" t="inlineStr">
        <is>
          <t>PressureClass_S3</t>
        </is>
      </c>
      <c r="AW1" t="inlineStr">
        <is>
          <t>Schedule_S3</t>
        </is>
      </c>
      <c r="AX1" t="inlineStr">
        <is>
          <t>WallThickness_S3</t>
        </is>
      </c>
      <c r="AY1" t="inlineStr">
        <is>
          <t>EngagementLength_S3</t>
        </is>
      </c>
      <c r="AZ1" t="inlineStr">
        <is>
          <t>LengthUnit_S3</t>
        </is>
      </c>
      <c r="BA1" s="1" t="inlineStr">
        <is>
          <t>ShortDescription</t>
        </is>
      </c>
      <c r="BB1" s="1" t="inlineStr">
        <is>
          <t>CompatibleStandard</t>
        </is>
      </c>
      <c r="BC1" s="1" t="inlineStr">
        <is>
          <t>DesignStd</t>
        </is>
      </c>
      <c r="BD1" s="1" t="inlineStr">
        <is>
          <t>PartFamilyLongDesc</t>
        </is>
      </c>
      <c r="BE1" s="1" t="inlineStr">
        <is>
          <t>PartSizeLongDesc</t>
        </is>
      </c>
      <c r="BF1" s="1" t="inlineStr">
        <is>
          <t>Material</t>
        </is>
      </c>
      <c r="BG1" s="1" t="inlineStr">
        <is>
          <t>MaterialCode</t>
        </is>
      </c>
      <c r="BH1" s="1" t="inlineStr">
        <is>
          <t>Weight</t>
        </is>
      </c>
      <c r="BI1" s="1" t="inlineStr">
        <is>
          <t>WeightUnit</t>
        </is>
      </c>
      <c r="BJ1" s="1" t="inlineStr">
        <is>
          <t>SKEY</t>
        </is>
      </c>
      <c r="BK1" s="1" t="inlineStr">
        <is>
          <t>TYPE</t>
        </is>
      </c>
      <c r="BL1" t="inlineStr">
        <is>
          <t>PartFamilyId</t>
        </is>
      </c>
      <c r="BM1" t="inlineStr">
        <is>
          <t>CatalogPartFamilyId</t>
        </is>
      </c>
      <c r="BN1" t="inlineStr">
        <is>
          <t>PartStatus</t>
        </is>
      </c>
      <c r="BO1" s="1" t="inlineStr">
        <is>
          <t>Manufacturer</t>
        </is>
      </c>
      <c r="BP1" s="1" t="inlineStr">
        <is>
          <t>ItemCode</t>
        </is>
      </c>
      <c r="BQ1" s="1" t="inlineStr">
        <is>
          <t>DesignPressureFactor</t>
        </is>
      </c>
      <c r="BR1" t="inlineStr">
        <is>
          <t>ConnectionPortCount</t>
        </is>
      </c>
      <c r="BS1" s="1" t="inlineStr">
        <is>
          <t>ComponentDesignation</t>
        </is>
      </c>
      <c r="BT1" t="inlineStr">
        <is>
          <t>PartCategory</t>
        </is>
      </c>
      <c r="BU1" t="inlineStr">
        <is>
          <t>ContentIsoSymbolDefinition</t>
        </is>
      </c>
      <c r="BV1" t="inlineStr">
        <is>
          <t>PartVersion</t>
        </is>
      </c>
      <c r="BW1" s="1" t="inlineStr">
        <is>
          <t>Status</t>
        </is>
      </c>
      <c r="BX1" s="1" t="inlineStr">
        <is>
          <t>Length</t>
        </is>
      </c>
      <c r="BY1" s="1" t="inlineStr">
        <is>
          <t>BranchAngle1</t>
        </is>
      </c>
      <c r="BZ1" s="1" t="inlineStr">
        <is>
          <t>BranchAngle2</t>
        </is>
      </c>
      <c r="CA1" s="1" t="inlineStr">
        <is>
          <t>Eccentricity</t>
        </is>
      </c>
      <c r="CB1" t="inlineStr">
        <is>
          <t>PnPClassName</t>
        </is>
      </c>
      <c r="CC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DN</t>
        </is>
      </c>
      <c r="F2" s="2" t="inlineStr">
        <is>
          <t>DN2</t>
        </is>
      </c>
      <c r="G2" s="2" t="inlineStr">
        <is>
          <t>ContentGeometryParamDefinition</t>
        </is>
      </c>
      <c r="H2" s="2" t="inlineStr">
        <is>
          <t>SizeRecordId_S1</t>
        </is>
      </c>
      <c r="I2" s="78" t="inlineStr">
        <is>
          <t>PortName_S1</t>
        </is>
      </c>
      <c r="J2" s="2" t="inlineStr">
        <is>
          <t>NominalDiameter_S1</t>
        </is>
      </c>
      <c r="K2" s="2" t="inlineStr">
        <is>
          <t>NominalUnit_S1</t>
        </is>
      </c>
      <c r="L2" s="2" t="inlineStr">
        <is>
          <t>MatchingPipeOd_S1</t>
        </is>
      </c>
      <c r="M2" s="2" t="inlineStr">
        <is>
          <t>EndType_S1</t>
        </is>
      </c>
      <c r="N2" s="2" t="inlineStr">
        <is>
          <t>FlangeStd_S1</t>
        </is>
      </c>
      <c r="O2" s="2" t="inlineStr">
        <is>
          <t>GasketStd_S1</t>
        </is>
      </c>
      <c r="P2" s="2" t="inlineStr">
        <is>
          <t>Facing_S1</t>
        </is>
      </c>
      <c r="Q2" s="2" t="inlineStr">
        <is>
          <t>FlangeThickness_S1</t>
        </is>
      </c>
      <c r="R2" s="2" t="inlineStr">
        <is>
          <t>PressureClass_S1</t>
        </is>
      </c>
      <c r="S2" s="2" t="inlineStr">
        <is>
          <t>Schedule_S1</t>
        </is>
      </c>
      <c r="T2" s="2" t="inlineStr">
        <is>
          <t>WallThickness_S1</t>
        </is>
      </c>
      <c r="U2" s="2" t="inlineStr">
        <is>
          <t>EngagementLength_S1</t>
        </is>
      </c>
      <c r="V2" s="2" t="inlineStr">
        <is>
          <t>LengthUnit_S1</t>
        </is>
      </c>
      <c r="W2" t="inlineStr">
        <is>
          <t>SizeRecordId_S2</t>
        </is>
      </c>
      <c r="X2" t="inlineStr">
        <is>
          <t>PortName_S2</t>
        </is>
      </c>
      <c r="Y2" t="inlineStr">
        <is>
          <t>NominalDiameter_S2</t>
        </is>
      </c>
      <c r="Z2" t="inlineStr">
        <is>
          <t>NominalUnit_S2</t>
        </is>
      </c>
      <c r="AA2" t="inlineStr">
        <is>
          <t>MatchingPipeOd_S2</t>
        </is>
      </c>
      <c r="AB2" t="inlineStr">
        <is>
          <t>EndType_S2</t>
        </is>
      </c>
      <c r="AC2" t="inlineStr">
        <is>
          <t>FlangeStd_S2</t>
        </is>
      </c>
      <c r="AD2" t="inlineStr">
        <is>
          <t>GasketStd_S2</t>
        </is>
      </c>
      <c r="AE2" t="inlineStr">
        <is>
          <t>Facing_S2</t>
        </is>
      </c>
      <c r="AF2" t="inlineStr">
        <is>
          <t>FlangeThickness_S2</t>
        </is>
      </c>
      <c r="AG2" t="inlineStr">
        <is>
          <t>PressureClass_S2</t>
        </is>
      </c>
      <c r="AH2" t="inlineStr">
        <is>
          <t>Schedule_S2</t>
        </is>
      </c>
      <c r="AI2" t="inlineStr">
        <is>
          <t>WallThickness_S2</t>
        </is>
      </c>
      <c r="AJ2" t="inlineStr">
        <is>
          <t>EngagementLength_S2</t>
        </is>
      </c>
      <c r="AK2" t="inlineStr">
        <is>
          <t>LengthUnit_S2</t>
        </is>
      </c>
      <c r="AL2" t="inlineStr">
        <is>
          <t>SizeRecordId_S3</t>
        </is>
      </c>
      <c r="AM2" t="inlineStr">
        <is>
          <t>PortName_S3</t>
        </is>
      </c>
      <c r="AN2" t="inlineStr">
        <is>
          <t>NominalDiameter_S3</t>
        </is>
      </c>
      <c r="AO2" t="inlineStr">
        <is>
          <t>NominalUnit_S3</t>
        </is>
      </c>
      <c r="AP2" t="inlineStr">
        <is>
          <t>MatchingPipeOd_S3</t>
        </is>
      </c>
      <c r="AQ2" t="inlineStr">
        <is>
          <t>EndType_S3</t>
        </is>
      </c>
      <c r="AR2" t="inlineStr">
        <is>
          <t>FlangeStd_S3</t>
        </is>
      </c>
      <c r="AS2" t="inlineStr">
        <is>
          <t>GasketStd_S3</t>
        </is>
      </c>
      <c r="AT2" t="inlineStr">
        <is>
          <t>Facing_S3</t>
        </is>
      </c>
      <c r="AU2" t="inlineStr">
        <is>
          <t>FlangeThickness_S3</t>
        </is>
      </c>
      <c r="AV2" t="inlineStr">
        <is>
          <t>PressureClass_S3</t>
        </is>
      </c>
      <c r="AW2" t="inlineStr">
        <is>
          <t>Schedule_S3</t>
        </is>
      </c>
      <c r="AX2" t="inlineStr">
        <is>
          <t>WallThickness_S3</t>
        </is>
      </c>
      <c r="AY2" t="inlineStr">
        <is>
          <t>EngagementLength_S3</t>
        </is>
      </c>
      <c r="AZ2" t="inlineStr">
        <is>
          <t>LengthUnit_S3</t>
        </is>
      </c>
      <c r="BA2" s="2" t="inlineStr">
        <is>
          <t>ShortDescription</t>
        </is>
      </c>
      <c r="BB2" s="2" t="inlineStr">
        <is>
          <t>CompatibleStandard</t>
        </is>
      </c>
      <c r="BC2" s="2" t="inlineStr">
        <is>
          <t>DesignStd</t>
        </is>
      </c>
      <c r="BD2" s="2" t="inlineStr">
        <is>
          <t>PartFamilyLongDesc</t>
        </is>
      </c>
      <c r="BE2" s="2" t="inlineStr">
        <is>
          <t>PartSizeLongDesc</t>
        </is>
      </c>
      <c r="BF2" s="2" t="inlineStr">
        <is>
          <t>Material</t>
        </is>
      </c>
      <c r="BG2" s="2" t="inlineStr">
        <is>
          <t>MaterialCode</t>
        </is>
      </c>
      <c r="BH2" s="2" t="inlineStr">
        <is>
          <t>Weight</t>
        </is>
      </c>
      <c r="BI2" s="2" t="inlineStr">
        <is>
          <t>WeightUnit</t>
        </is>
      </c>
      <c r="BJ2" s="2" t="inlineStr">
        <is>
          <t>SKEY</t>
        </is>
      </c>
      <c r="BK2" s="2" t="inlineStr">
        <is>
          <t>TYPE</t>
        </is>
      </c>
      <c r="BL2" s="2" t="inlineStr">
        <is>
          <t>PartFamilyId</t>
        </is>
      </c>
      <c r="BM2" s="2" t="inlineStr">
        <is>
          <t>CatalogPartFamilyId</t>
        </is>
      </c>
      <c r="BN2" s="2" t="inlineStr">
        <is>
          <t>PartStatus</t>
        </is>
      </c>
      <c r="BO2" s="2" t="inlineStr">
        <is>
          <t>Manufacturer</t>
        </is>
      </c>
      <c r="BP2" s="2" t="inlineStr">
        <is>
          <t>ItemCode</t>
        </is>
      </c>
      <c r="BQ2" s="2" t="inlineStr">
        <is>
          <t>DesignPressureFactor</t>
        </is>
      </c>
      <c r="BR2" s="2" t="inlineStr">
        <is>
          <t>ConnectionPortCount</t>
        </is>
      </c>
      <c r="BS2" s="2" t="inlineStr">
        <is>
          <t>ComponentDesignation</t>
        </is>
      </c>
      <c r="BT2" s="2" t="inlineStr">
        <is>
          <t>PartCategory</t>
        </is>
      </c>
      <c r="BU2" s="2" t="inlineStr">
        <is>
          <t>ContentIsoSymbolDefinition</t>
        </is>
      </c>
      <c r="BV2" s="2" t="inlineStr">
        <is>
          <t>PartVersion</t>
        </is>
      </c>
      <c r="BW2" s="2" t="inlineStr">
        <is>
          <t>Status</t>
        </is>
      </c>
      <c r="BX2" s="2" t="inlineStr">
        <is>
          <t>Length</t>
        </is>
      </c>
      <c r="BY2" s="2" t="inlineStr">
        <is>
          <t>BranchAngle1</t>
        </is>
      </c>
      <c r="BZ2" s="2" t="inlineStr">
        <is>
          <t>BranchAngle2</t>
        </is>
      </c>
      <c r="CA2" s="2" t="inlineStr">
        <is>
          <t>Eccentricity</t>
        </is>
      </c>
      <c r="CB2" s="2" t="inlineStr">
        <is>
          <t>PnPClassName</t>
        </is>
      </c>
      <c r="CC2" s="2" t="inlineStr">
        <is>
          <t>ExcelFormatVersion_2.0</t>
        </is>
      </c>
    </row>
    <row r="3">
      <c r="A3" s="1" t="n"/>
      <c r="B3" s="1" t="n"/>
      <c r="C3" s="1" t="n"/>
      <c r="D3" s="1" t="n"/>
      <c r="E3" s="1" t="n"/>
      <c r="F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K3" s="1" t="n"/>
      <c r="AL3" s="1" t="n"/>
      <c r="AM3" s="1" t="n"/>
      <c r="AO3" s="1" t="n"/>
      <c r="AS3" s="1" t="n"/>
      <c r="AT3" s="1" t="n"/>
      <c r="AU3" s="1" t="n"/>
      <c r="AV3" s="1" t="n"/>
      <c r="AW3" s="1" t="n"/>
    </row>
    <row r="4">
      <c r="A4" s="1" t="n"/>
      <c r="B4" s="1" t="n"/>
      <c r="C4" s="1" t="n"/>
      <c r="D4" s="1" t="n"/>
      <c r="E4" s="1" t="n"/>
      <c r="F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K4" s="1" t="n"/>
      <c r="AL4" s="1" t="n"/>
      <c r="AM4" s="1" t="n"/>
      <c r="AO4" s="1" t="n"/>
      <c r="AS4" s="1" t="n"/>
      <c r="AT4" s="1" t="n"/>
      <c r="AU4" s="1" t="n"/>
      <c r="AV4" s="1" t="n"/>
      <c r="AW4" s="1" t="n"/>
    </row>
    <row r="5">
      <c r="A5" s="1" t="n"/>
      <c r="B5" s="1" t="n"/>
      <c r="C5" s="1" t="n"/>
      <c r="D5" s="1" t="n"/>
      <c r="E5" s="1" t="n"/>
      <c r="F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K5" s="1" t="n"/>
      <c r="AL5" s="1" t="n"/>
      <c r="AM5" s="1" t="n"/>
      <c r="AO5" s="1" t="n"/>
      <c r="AS5" s="1" t="n"/>
      <c r="AT5" s="1" t="n"/>
      <c r="AU5" s="1" t="n"/>
      <c r="AV5" s="1" t="n"/>
      <c r="AW5" s="1" t="n"/>
    </row>
  </sheetData>
  <dataValidations disablePrompts="1" count="2">
    <dataValidation sqref="AE3:AE20" showDropDown="0" showInputMessage="1" showErrorMessage="1" allowBlank="1" errorTitle="" error="" promptTitle="" prompt="" type="list" errorStyle="stop" operator="between">
      <formula1>"LB,KG"</formula1>
    </dataValidation>
    <dataValidation sqref="J3:J20 L3:L20 Q3:Q20 T3:U20 AD3:AD20 AJ3:AJ20 AN3:AN20 AT3:AV20" showDropDown="0" showInputMessage="1" showErrorMessage="1" allowBlank="1" errorTitle="" error="" promptTitle="" prompt="" type="decimal" errorStyle="stop" operator="between">
      <formula1>-5</formula1>
      <formula2>100000</formula2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B5"/>
  <sheetViews>
    <sheetView topLeftCell="A2" workbookViewId="0">
      <selection activeCell="A19" sqref="A19 15:15 17:17 19:19"/>
    </sheetView>
  </sheetViews>
  <sheetFormatPr baseColWidth="8" defaultColWidth="9.139196" defaultRowHeight="15"/>
  <cols>
    <col width="9.140625" customWidth="1" style="1" min="1" max="1"/>
    <col width="5.425781" bestFit="1" customWidth="1" style="1" min="2" max="2"/>
    <col width="24.140625" bestFit="1" customWidth="1" style="1" min="3" max="3"/>
    <col width="112.285156" bestFit="1" customWidth="1" style="1" min="4" max="4"/>
    <col width="3.710938" bestFit="1" customWidth="1" style="1" min="5" max="5"/>
    <col width="32.425781" bestFit="1" customWidth="1" min="6" max="6"/>
    <col width="38.285156" bestFit="1" customWidth="1" min="7" max="7"/>
    <col width="15.855469" bestFit="1" customWidth="1" style="1" min="8" max="8"/>
    <col width="23" bestFit="1" customWidth="1" style="1" min="9" max="9"/>
    <col width="18.425781" bestFit="1" customWidth="1" style="1" min="10" max="10"/>
    <col width="22" bestFit="1" customWidth="1" style="1" min="11" max="11"/>
    <col width="14.425781" bestFit="1" customWidth="1" style="1" min="12" max="12"/>
    <col width="15.570312" bestFit="1" customWidth="1" style="1" min="13" max="13"/>
    <col width="15.855469" bestFit="1" customWidth="1" style="1" min="14" max="14"/>
    <col width="12.285156" bestFit="1" customWidth="1" style="1" min="15" max="15"/>
    <col width="21.570312" bestFit="1" customWidth="1" style="1" min="16" max="16"/>
    <col width="19.140625" bestFit="1" customWidth="1" style="1" min="17" max="17"/>
    <col width="15" bestFit="1" customWidth="1" style="1" min="18" max="18"/>
    <col width="19.710938" bestFit="1" customWidth="1" style="1" min="19" max="19"/>
    <col width="24.140625" bestFit="1" customWidth="1" style="1" min="20" max="20"/>
    <col width="16.710938" bestFit="1" customWidth="1" style="1" min="21" max="21"/>
    <col width="18.570312" bestFit="1" customWidth="1" style="1" min="22" max="22"/>
    <col width="19.425781" bestFit="1" customWidth="1" style="1" min="23" max="23"/>
    <col width="9.855468999999999" bestFit="1" customWidth="1" style="1" min="24" max="24"/>
    <col width="53.570312" bestFit="1" customWidth="1" style="1" min="25" max="25"/>
    <col width="16.570312" bestFit="1" customWidth="1" style="1" min="26" max="26"/>
    <col width="8.570311999999999" bestFit="1" customWidth="1" style="1" min="27" max="27"/>
    <col width="13.285156" bestFit="1" customWidth="1" style="1" min="28" max="28"/>
    <col width="7.570312" bestFit="1" customWidth="1" style="1" min="29" max="29"/>
    <col width="11.425781" bestFit="1" customWidth="1" style="1" min="30" max="30"/>
    <col width="5.285156" bestFit="1" customWidth="1" style="1" min="31" max="32"/>
    <col width="36.855469" bestFit="1" customWidth="1" min="33" max="33"/>
    <col width="19" bestFit="1" customWidth="1" min="34" max="34"/>
    <col width="10" bestFit="1" customWidth="1" min="35" max="35"/>
    <col width="13.285156" bestFit="1" customWidth="1" style="1" min="36" max="36"/>
    <col width="9.710938000000001" bestFit="1" customWidth="1" style="1" min="37" max="37"/>
    <col width="20.425781" bestFit="1" customWidth="1" style="1" min="38" max="38"/>
    <col width="20.425781" bestFit="1" customWidth="1" min="39" max="39"/>
    <col width="22.425781" bestFit="1" customWidth="1" style="1" min="40" max="40"/>
    <col width="12.425781" bestFit="1" customWidth="1" min="41" max="41"/>
    <col width="26.855469" bestFit="1" customWidth="1" min="42" max="42"/>
    <col width="11.425781" bestFit="1" customWidth="1" min="43" max="43"/>
    <col width="6.425781" bestFit="1" customWidth="1" style="1" min="44" max="44"/>
    <col width="7" bestFit="1" customWidth="1" style="1" min="45" max="45"/>
    <col width="13.285156" bestFit="1" customWidth="1" style="1" min="46" max="47"/>
    <col width="11.140625" bestFit="1" customWidth="1" style="1" min="48" max="48"/>
    <col width="14.285156" bestFit="1" customWidth="1" min="49" max="49"/>
    <col width="22.710938" bestFit="1" customWidth="1" min="50" max="50"/>
    <col width="9.140625" customWidth="1" min="51" max="81"/>
  </cols>
  <sheetData>
    <row r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DN</t>
        </is>
      </c>
      <c r="F1" t="inlineStr">
        <is>
          <t>ContentGeometryParamDefinition</t>
        </is>
      </c>
      <c r="G1" t="inlineStr">
        <is>
          <t>SizeRecordId_S1</t>
        </is>
      </c>
      <c r="H1" s="77" t="inlineStr">
        <is>
          <t>PortName_S1</t>
        </is>
      </c>
      <c r="I1" s="1" t="inlineStr">
        <is>
          <t>NominalDiameter_S1</t>
        </is>
      </c>
      <c r="J1" s="1" t="inlineStr">
        <is>
          <t>NominalUnit_S1</t>
        </is>
      </c>
      <c r="K1" s="1" t="inlineStr">
        <is>
          <t>MatchingPipeOd_S1</t>
        </is>
      </c>
      <c r="L1" s="1" t="inlineStr">
        <is>
          <t>EndType_S1</t>
        </is>
      </c>
      <c r="M1" s="1" t="inlineStr">
        <is>
          <t>FlangeStd_S1</t>
        </is>
      </c>
      <c r="N1" s="1" t="inlineStr">
        <is>
          <t>GasketStd_S1</t>
        </is>
      </c>
      <c r="O1" s="1" t="inlineStr">
        <is>
          <t>Facing_S1</t>
        </is>
      </c>
      <c r="P1" s="1" t="inlineStr">
        <is>
          <t>FlangeThickness_S1</t>
        </is>
      </c>
      <c r="Q1" s="1" t="inlineStr">
        <is>
          <t>PressureClass_S1</t>
        </is>
      </c>
      <c r="R1" s="1" t="inlineStr">
        <is>
          <t>Schedule_S1</t>
        </is>
      </c>
      <c r="S1" s="1" t="inlineStr">
        <is>
          <t>WallThickness_S1</t>
        </is>
      </c>
      <c r="T1" s="1" t="inlineStr">
        <is>
          <t>EngagementLength_S1</t>
        </is>
      </c>
      <c r="U1" s="1" t="inlineStr">
        <is>
          <t>LengthUnit_S1</t>
        </is>
      </c>
      <c r="V1" t="inlineStr">
        <is>
          <t>SizeRecordId_S2</t>
        </is>
      </c>
      <c r="W1" t="inlineStr">
        <is>
          <t>PortName_S2</t>
        </is>
      </c>
      <c r="X1" t="inlineStr">
        <is>
          <t>NominalDiameter_S2</t>
        </is>
      </c>
      <c r="Y1" t="inlineStr">
        <is>
          <t>NominalUnit_S2</t>
        </is>
      </c>
      <c r="Z1" t="inlineStr">
        <is>
          <t>MatchingPipeOd_S2</t>
        </is>
      </c>
      <c r="AA1" t="inlineStr">
        <is>
          <t>EndType_S2</t>
        </is>
      </c>
      <c r="AB1" t="inlineStr">
        <is>
          <t>FlangeStd_S2</t>
        </is>
      </c>
      <c r="AC1" t="inlineStr">
        <is>
          <t>GasketStd_S2</t>
        </is>
      </c>
      <c r="AD1" t="inlineStr">
        <is>
          <t>Facing_S2</t>
        </is>
      </c>
      <c r="AE1" t="inlineStr">
        <is>
          <t>FlangeThickness_S2</t>
        </is>
      </c>
      <c r="AF1" t="inlineStr">
        <is>
          <t>PressureClass_S2</t>
        </is>
      </c>
      <c r="AG1" t="inlineStr">
        <is>
          <t>Schedule_S2</t>
        </is>
      </c>
      <c r="AH1" t="inlineStr">
        <is>
          <t>WallThickness_S2</t>
        </is>
      </c>
      <c r="AI1" t="inlineStr">
        <is>
          <t>EngagementLength_S2</t>
        </is>
      </c>
      <c r="AJ1" t="inlineStr">
        <is>
          <t>LengthUnit_S2</t>
        </is>
      </c>
      <c r="AK1" t="inlineStr">
        <is>
          <t>SizeRecordId_S3</t>
        </is>
      </c>
      <c r="AL1" t="inlineStr">
        <is>
          <t>PortName_S3</t>
        </is>
      </c>
      <c r="AM1" t="inlineStr">
        <is>
          <t>NominalDiameter_S3</t>
        </is>
      </c>
      <c r="AN1" t="inlineStr">
        <is>
          <t>NominalUnit_S3</t>
        </is>
      </c>
      <c r="AO1" t="inlineStr">
        <is>
          <t>MatchingPipeOd_S3</t>
        </is>
      </c>
      <c r="AP1" t="inlineStr">
        <is>
          <t>EndType_S3</t>
        </is>
      </c>
      <c r="AQ1" t="inlineStr">
        <is>
          <t>FlangeStd_S3</t>
        </is>
      </c>
      <c r="AR1" t="inlineStr">
        <is>
          <t>GasketStd_S3</t>
        </is>
      </c>
      <c r="AS1" t="inlineStr">
        <is>
          <t>Facing_S3</t>
        </is>
      </c>
      <c r="AT1" t="inlineStr">
        <is>
          <t>FlangeThickness_S3</t>
        </is>
      </c>
      <c r="AU1" t="inlineStr">
        <is>
          <t>PressureClass_S3</t>
        </is>
      </c>
      <c r="AV1" t="inlineStr">
        <is>
          <t>Schedule_S3</t>
        </is>
      </c>
      <c r="AW1" t="inlineStr">
        <is>
          <t>WallThickness_S3</t>
        </is>
      </c>
      <c r="AX1" t="inlineStr">
        <is>
          <t>EngagementLength_S3</t>
        </is>
      </c>
      <c r="AY1" t="inlineStr">
        <is>
          <t>LengthUnit_S3</t>
        </is>
      </c>
      <c r="AZ1" s="1" t="inlineStr">
        <is>
          <t>ShortDescription</t>
        </is>
      </c>
      <c r="BA1" s="1" t="inlineStr">
        <is>
          <t>CompatibleStandard</t>
        </is>
      </c>
      <c r="BB1" s="1" t="inlineStr">
        <is>
          <t>DesignStd</t>
        </is>
      </c>
      <c r="BC1" s="1" t="inlineStr">
        <is>
          <t>PartFamilyLongDesc</t>
        </is>
      </c>
      <c r="BD1" s="1" t="inlineStr">
        <is>
          <t>PartSizeLongDesc</t>
        </is>
      </c>
      <c r="BE1" s="1" t="inlineStr">
        <is>
          <t>Material</t>
        </is>
      </c>
      <c r="BF1" s="1" t="inlineStr">
        <is>
          <t>MaterialCode</t>
        </is>
      </c>
      <c r="BG1" s="1" t="inlineStr">
        <is>
          <t>Weight</t>
        </is>
      </c>
      <c r="BH1" s="1" t="inlineStr">
        <is>
          <t>WeightUnit</t>
        </is>
      </c>
      <c r="BI1" s="1" t="inlineStr">
        <is>
          <t>SKEY</t>
        </is>
      </c>
      <c r="BJ1" s="1" t="inlineStr">
        <is>
          <t>TYPE</t>
        </is>
      </c>
      <c r="BK1" t="inlineStr">
        <is>
          <t>PartFamilyId</t>
        </is>
      </c>
      <c r="BL1" t="inlineStr">
        <is>
          <t>CatalogPartFamilyId</t>
        </is>
      </c>
      <c r="BM1" t="inlineStr">
        <is>
          <t>PartStatus</t>
        </is>
      </c>
      <c r="BN1" s="1" t="inlineStr">
        <is>
          <t>Manufacturer</t>
        </is>
      </c>
      <c r="BO1" s="1" t="inlineStr">
        <is>
          <t>ItemCode</t>
        </is>
      </c>
      <c r="BP1" s="1" t="inlineStr">
        <is>
          <t>DesignPressureFactor</t>
        </is>
      </c>
      <c r="BQ1" t="inlineStr">
        <is>
          <t>ConnectionPortCount</t>
        </is>
      </c>
      <c r="BR1" s="1" t="inlineStr">
        <is>
          <t>ComponentDesignation</t>
        </is>
      </c>
      <c r="BS1" t="inlineStr">
        <is>
          <t>PartCategory</t>
        </is>
      </c>
      <c r="BT1" t="inlineStr">
        <is>
          <t>ContentIsoSymbolDefinition</t>
        </is>
      </c>
      <c r="BU1" t="inlineStr">
        <is>
          <t>PartVersion</t>
        </is>
      </c>
      <c r="BV1" s="1" t="inlineStr">
        <is>
          <t>Status</t>
        </is>
      </c>
      <c r="BW1" s="1" t="inlineStr">
        <is>
          <t>Length</t>
        </is>
      </c>
      <c r="BX1" s="1" t="inlineStr">
        <is>
          <t>BranchAngle1</t>
        </is>
      </c>
      <c r="BY1" s="1" t="inlineStr">
        <is>
          <t>BranchAngle2</t>
        </is>
      </c>
      <c r="BZ1" s="1" t="inlineStr">
        <is>
          <t>Eccentricity</t>
        </is>
      </c>
      <c r="CA1" t="inlineStr">
        <is>
          <t>PnPClassName</t>
        </is>
      </c>
      <c r="CB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DN</t>
        </is>
      </c>
      <c r="F2" s="2" t="inlineStr">
        <is>
          <t>ContentGeometryParamDefinition</t>
        </is>
      </c>
      <c r="G2" s="2" t="inlineStr">
        <is>
          <t>SizeRecordId_S1</t>
        </is>
      </c>
      <c r="H2" s="78" t="inlineStr">
        <is>
          <t>PortName_S1</t>
        </is>
      </c>
      <c r="I2" s="2" t="inlineStr">
        <is>
          <t>NominalDiameter_S1</t>
        </is>
      </c>
      <c r="J2" s="2" t="inlineStr">
        <is>
          <t>NominalUnit_S1</t>
        </is>
      </c>
      <c r="K2" s="2" t="inlineStr">
        <is>
          <t>MatchingPipeOd_S1</t>
        </is>
      </c>
      <c r="L2" s="2" t="inlineStr">
        <is>
          <t>EndType_S1</t>
        </is>
      </c>
      <c r="M2" s="2" t="inlineStr">
        <is>
          <t>FlangeStd_S1</t>
        </is>
      </c>
      <c r="N2" s="2" t="inlineStr">
        <is>
          <t>GasketStd_S1</t>
        </is>
      </c>
      <c r="O2" s="2" t="inlineStr">
        <is>
          <t>Facing_S1</t>
        </is>
      </c>
      <c r="P2" s="2" t="inlineStr">
        <is>
          <t>FlangeThickness_S1</t>
        </is>
      </c>
      <c r="Q2" s="2" t="inlineStr">
        <is>
          <t>PressureClass_S1</t>
        </is>
      </c>
      <c r="R2" s="2" t="inlineStr">
        <is>
          <t>Schedule_S1</t>
        </is>
      </c>
      <c r="S2" s="2" t="inlineStr">
        <is>
          <t>WallThickness_S1</t>
        </is>
      </c>
      <c r="T2" s="2" t="inlineStr">
        <is>
          <t>EngagementLength_S1</t>
        </is>
      </c>
      <c r="U2" s="2" t="inlineStr">
        <is>
          <t>LengthUnit_S1</t>
        </is>
      </c>
      <c r="V2" t="inlineStr">
        <is>
          <t>SizeRecordId_S2</t>
        </is>
      </c>
      <c r="W2" t="inlineStr">
        <is>
          <t>PortName_S2</t>
        </is>
      </c>
      <c r="X2" t="inlineStr">
        <is>
          <t>NominalDiameter_S2</t>
        </is>
      </c>
      <c r="Y2" t="inlineStr">
        <is>
          <t>NominalUnit_S2</t>
        </is>
      </c>
      <c r="Z2" t="inlineStr">
        <is>
          <t>MatchingPipeOd_S2</t>
        </is>
      </c>
      <c r="AA2" t="inlineStr">
        <is>
          <t>EndType_S2</t>
        </is>
      </c>
      <c r="AB2" t="inlineStr">
        <is>
          <t>FlangeStd_S2</t>
        </is>
      </c>
      <c r="AC2" t="inlineStr">
        <is>
          <t>GasketStd_S2</t>
        </is>
      </c>
      <c r="AD2" t="inlineStr">
        <is>
          <t>Facing_S2</t>
        </is>
      </c>
      <c r="AE2" t="inlineStr">
        <is>
          <t>FlangeThickness_S2</t>
        </is>
      </c>
      <c r="AF2" t="inlineStr">
        <is>
          <t>PressureClass_S2</t>
        </is>
      </c>
      <c r="AG2" t="inlineStr">
        <is>
          <t>Schedule_S2</t>
        </is>
      </c>
      <c r="AH2" t="inlineStr">
        <is>
          <t>WallThickness_S2</t>
        </is>
      </c>
      <c r="AI2" t="inlineStr">
        <is>
          <t>EngagementLength_S2</t>
        </is>
      </c>
      <c r="AJ2" t="inlineStr">
        <is>
          <t>LengthUnit_S2</t>
        </is>
      </c>
      <c r="AK2" t="inlineStr">
        <is>
          <t>SizeRecordId_S3</t>
        </is>
      </c>
      <c r="AL2" t="inlineStr">
        <is>
          <t>PortName_S3</t>
        </is>
      </c>
      <c r="AM2" t="inlineStr">
        <is>
          <t>NominalDiameter_S3</t>
        </is>
      </c>
      <c r="AN2" t="inlineStr">
        <is>
          <t>NominalUnit_S3</t>
        </is>
      </c>
      <c r="AO2" t="inlineStr">
        <is>
          <t>MatchingPipeOd_S3</t>
        </is>
      </c>
      <c r="AP2" t="inlineStr">
        <is>
          <t>EndType_S3</t>
        </is>
      </c>
      <c r="AQ2" t="inlineStr">
        <is>
          <t>FlangeStd_S3</t>
        </is>
      </c>
      <c r="AR2" t="inlineStr">
        <is>
          <t>GasketStd_S3</t>
        </is>
      </c>
      <c r="AS2" t="inlineStr">
        <is>
          <t>Facing_S3</t>
        </is>
      </c>
      <c r="AT2" t="inlineStr">
        <is>
          <t>FlangeThickness_S3</t>
        </is>
      </c>
      <c r="AU2" t="inlineStr">
        <is>
          <t>PressureClass_S3</t>
        </is>
      </c>
      <c r="AV2" t="inlineStr">
        <is>
          <t>Schedule_S3</t>
        </is>
      </c>
      <c r="AW2" t="inlineStr">
        <is>
          <t>WallThickness_S3</t>
        </is>
      </c>
      <c r="AX2" t="inlineStr">
        <is>
          <t>EngagementLength_S3</t>
        </is>
      </c>
      <c r="AY2" t="inlineStr">
        <is>
          <t>LengthUnit_S3</t>
        </is>
      </c>
      <c r="AZ2" s="2" t="inlineStr">
        <is>
          <t>ShortDescription</t>
        </is>
      </c>
      <c r="BA2" s="2" t="inlineStr">
        <is>
          <t>CompatibleStandard</t>
        </is>
      </c>
      <c r="BB2" s="2" t="inlineStr">
        <is>
          <t>DesignStd</t>
        </is>
      </c>
      <c r="BC2" s="2" t="inlineStr">
        <is>
          <t>PartFamilyLongDesc</t>
        </is>
      </c>
      <c r="BD2" s="2" t="inlineStr">
        <is>
          <t>PartSizeLongDesc</t>
        </is>
      </c>
      <c r="BE2" s="2" t="inlineStr">
        <is>
          <t>Material</t>
        </is>
      </c>
      <c r="BF2" s="2" t="inlineStr">
        <is>
          <t>MaterialCode</t>
        </is>
      </c>
      <c r="BG2" s="2" t="inlineStr">
        <is>
          <t>Weight</t>
        </is>
      </c>
      <c r="BH2" s="2" t="inlineStr">
        <is>
          <t>WeightUnit</t>
        </is>
      </c>
      <c r="BI2" s="2" t="inlineStr">
        <is>
          <t>SKEY</t>
        </is>
      </c>
      <c r="BJ2" s="2" t="inlineStr">
        <is>
          <t>TYPE</t>
        </is>
      </c>
      <c r="BK2" s="2" t="inlineStr">
        <is>
          <t>PartFamilyId</t>
        </is>
      </c>
      <c r="BL2" s="2" t="inlineStr">
        <is>
          <t>CatalogPartFamilyId</t>
        </is>
      </c>
      <c r="BM2" s="2" t="inlineStr">
        <is>
          <t>PartStatus</t>
        </is>
      </c>
      <c r="BN2" s="2" t="inlineStr">
        <is>
          <t>Manufacturer</t>
        </is>
      </c>
      <c r="BO2" s="2" t="inlineStr">
        <is>
          <t>ItemCode</t>
        </is>
      </c>
      <c r="BP2" s="2" t="inlineStr">
        <is>
          <t>DesignPressureFactor</t>
        </is>
      </c>
      <c r="BQ2" s="2" t="inlineStr">
        <is>
          <t>ConnectionPortCount</t>
        </is>
      </c>
      <c r="BR2" s="2" t="inlineStr">
        <is>
          <t>ComponentDesignation</t>
        </is>
      </c>
      <c r="BS2" s="2" t="inlineStr">
        <is>
          <t>PartCategory</t>
        </is>
      </c>
      <c r="BT2" s="2" t="inlineStr">
        <is>
          <t>ContentIsoSymbolDefinition</t>
        </is>
      </c>
      <c r="BU2" s="2" t="inlineStr">
        <is>
          <t>PartVersion</t>
        </is>
      </c>
      <c r="BV2" s="2" t="inlineStr">
        <is>
          <t>Status</t>
        </is>
      </c>
      <c r="BW2" s="2" t="inlineStr">
        <is>
          <t>Length</t>
        </is>
      </c>
      <c r="BX2" s="2" t="inlineStr">
        <is>
          <t>BranchAngle1</t>
        </is>
      </c>
      <c r="BY2" s="2" t="inlineStr">
        <is>
          <t>BranchAngle2</t>
        </is>
      </c>
      <c r="BZ2" s="2" t="inlineStr">
        <is>
          <t>Eccentricity</t>
        </is>
      </c>
      <c r="CA2" s="2" t="inlineStr">
        <is>
          <t>PnPClassName</t>
        </is>
      </c>
      <c r="CB2" s="2" t="inlineStr">
        <is>
          <t>ExcelFormatVersion_2.0</t>
        </is>
      </c>
    </row>
    <row r="3">
      <c r="A3" s="1" t="n"/>
      <c r="B3" s="1" t="n"/>
      <c r="C3" s="1" t="n"/>
      <c r="D3" s="1" t="n"/>
      <c r="E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J3" s="1" t="n"/>
      <c r="AK3" s="1" t="n"/>
      <c r="AL3" s="1" t="n"/>
      <c r="AN3" s="1" t="n"/>
      <c r="AR3" s="1" t="n"/>
      <c r="AS3" s="1" t="n"/>
      <c r="AT3" s="1" t="n"/>
      <c r="AU3" s="1" t="n"/>
      <c r="AV3" s="1" t="n"/>
    </row>
    <row r="4">
      <c r="A4" s="1" t="n"/>
      <c r="B4" s="1" t="n"/>
      <c r="C4" s="1" t="n"/>
      <c r="D4" s="1" t="n"/>
      <c r="E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J4" s="1" t="n"/>
      <c r="AK4" s="1" t="n"/>
      <c r="AL4" s="1" t="n"/>
      <c r="AN4" s="1" t="n"/>
      <c r="AR4" s="1" t="n"/>
      <c r="AS4" s="1" t="n"/>
      <c r="AT4" s="1" t="n"/>
      <c r="AU4" s="1" t="n"/>
      <c r="AV4" s="1" t="n"/>
    </row>
    <row r="5">
      <c r="A5" s="1" t="n"/>
      <c r="B5" s="1" t="n"/>
      <c r="C5" s="1" t="n"/>
      <c r="D5" s="1" t="n"/>
      <c r="E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J5" s="1" t="n"/>
      <c r="AK5" s="1" t="n"/>
      <c r="AL5" s="1" t="n"/>
      <c r="AN5" s="1" t="n"/>
      <c r="AR5" s="1" t="n"/>
      <c r="AS5" s="1" t="n"/>
      <c r="AT5" s="1" t="n"/>
      <c r="AU5" s="1" t="n"/>
      <c r="AV5" s="1" t="n"/>
    </row>
  </sheetData>
  <dataValidations count="2">
    <dataValidation sqref="AD3:AD20" showDropDown="0" showInputMessage="1" showErrorMessage="1" allowBlank="1" errorTitle="" error="" promptTitle="" prompt="" type="list" errorStyle="stop" operator="between">
      <formula1>"LB,KG"</formula1>
    </dataValidation>
    <dataValidation sqref="I3:I20 K3:K20 P3:P20 S3:T20 AC3:AC20 AI3:AI20 AM3:AM20 AS3:AU20" showDropDown="0" showInputMessage="1" showErrorMessage="1" allowBlank="1" errorTitle="" error="" promptTitle="" prompt="" type="decimal" errorStyle="stop" operator="between">
      <formula1>-5</formula1>
      <formula2>100000</formula2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C5"/>
  <sheetViews>
    <sheetView topLeftCell="A2" workbookViewId="0">
      <selection activeCell="A2" sqref="A2 1:1048576"/>
    </sheetView>
  </sheetViews>
  <sheetFormatPr baseColWidth="8" defaultColWidth="9.139196" defaultRowHeight="15"/>
  <cols>
    <col width="9.140625" customWidth="1" style="1" min="1" max="1"/>
    <col width="5.425781" bestFit="1" customWidth="1" style="1" min="2" max="2"/>
    <col width="28.285156" bestFit="1" customWidth="1" style="1" min="3" max="3"/>
    <col width="116.425781" bestFit="1" customWidth="1" style="1" min="4" max="4"/>
    <col width="3.710938" bestFit="1" customWidth="1" style="1" min="5" max="5"/>
    <col width="4.710938" bestFit="1" customWidth="1" style="1" min="6" max="6"/>
    <col width="32.425781" bestFit="1" customWidth="1" min="7" max="7"/>
    <col width="37.425781" bestFit="1" customWidth="1" min="8" max="8"/>
    <col width="15.855469" bestFit="1" customWidth="1" style="1" min="9" max="9"/>
    <col width="23" bestFit="1" customWidth="1" style="1" min="10" max="10"/>
    <col width="18.425781" bestFit="1" customWidth="1" style="1" min="11" max="11"/>
    <col width="22" bestFit="1" customWidth="1" style="1" min="12" max="12"/>
    <col width="14.425781" bestFit="1" customWidth="1" style="1" min="13" max="13"/>
    <col width="15.570312" bestFit="1" customWidth="1" style="1" min="14" max="14"/>
    <col width="15.855469" bestFit="1" customWidth="1" style="1" min="15" max="15"/>
    <col width="12.285156" bestFit="1" customWidth="1" style="1" min="16" max="16"/>
    <col width="21.570312" bestFit="1" customWidth="1" style="1" min="17" max="17"/>
    <col width="19.140625" bestFit="1" customWidth="1" style="1" min="18" max="18"/>
    <col width="15" bestFit="1" customWidth="1" style="1" min="19" max="19"/>
    <col width="19.710938" bestFit="1" customWidth="1" style="1" min="20" max="20"/>
    <col width="24.140625" bestFit="1" customWidth="1" style="1" min="21" max="21"/>
    <col width="16.710938" bestFit="1" customWidth="1" style="1" min="22" max="22"/>
    <col width="22.710938" bestFit="1" customWidth="1" style="1" min="23" max="23"/>
    <col width="19.425781" bestFit="1" customWidth="1" style="1" min="24" max="24"/>
    <col width="9.855468999999999" bestFit="1" customWidth="1" style="1" min="25" max="25"/>
    <col width="56.855469" bestFit="1" customWidth="1" style="1" min="26" max="26"/>
    <col width="16.570312" bestFit="1" customWidth="1" style="1" min="27" max="27"/>
    <col width="8.570311999999999" bestFit="1" customWidth="1" style="1" min="28" max="28"/>
    <col width="13.285156" bestFit="1" customWidth="1" style="1" min="29" max="29"/>
    <col width="7.570312" bestFit="1" customWidth="1" style="1" min="30" max="30"/>
    <col width="11.425781" bestFit="1" customWidth="1" style="1" min="31" max="31"/>
    <col width="5.285156" bestFit="1" customWidth="1" style="1" min="32" max="33"/>
    <col width="36.710938" bestFit="1" customWidth="1" min="34" max="34"/>
    <col width="19" bestFit="1" customWidth="1" min="35" max="35"/>
    <col width="10" bestFit="1" customWidth="1" min="36" max="36"/>
    <col width="13.285156" bestFit="1" customWidth="1" style="1" min="37" max="37"/>
    <col width="9.710938000000001" bestFit="1" customWidth="1" style="1" min="38" max="38"/>
    <col width="20.425781" bestFit="1" customWidth="1" style="1" min="39" max="39"/>
    <col width="20.425781" bestFit="1" customWidth="1" min="40" max="40"/>
    <col width="22.425781" bestFit="1" customWidth="1" style="1" min="41" max="41"/>
    <col width="12.425781" bestFit="1" customWidth="1" min="42" max="42"/>
    <col width="26.855469" bestFit="1" customWidth="1" min="43" max="43"/>
    <col width="11.425781" bestFit="1" customWidth="1" min="44" max="44"/>
    <col width="6.425781" bestFit="1" customWidth="1" style="1" min="45" max="45"/>
    <col width="7" bestFit="1" customWidth="1" style="1" min="46" max="46"/>
    <col width="13.285156" bestFit="1" customWidth="1" style="1" min="47" max="48"/>
    <col width="11.140625" bestFit="1" customWidth="1" style="1" min="49" max="49"/>
    <col width="14.285156" bestFit="1" customWidth="1" min="50" max="50"/>
    <col width="22.710938" bestFit="1" customWidth="1" min="51" max="51"/>
    <col width="9.140625" customWidth="1" min="52" max="82"/>
  </cols>
  <sheetData>
    <row r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DN</t>
        </is>
      </c>
      <c r="F1" s="1" t="inlineStr">
        <is>
          <t>DN2</t>
        </is>
      </c>
      <c r="G1" t="inlineStr">
        <is>
          <t>ContentGeometryParamDefinition</t>
        </is>
      </c>
      <c r="H1" t="inlineStr">
        <is>
          <t>SizeRecordId_S1</t>
        </is>
      </c>
      <c r="I1" s="77" t="inlineStr">
        <is>
          <t>PortName_S1</t>
        </is>
      </c>
      <c r="J1" s="1" t="inlineStr">
        <is>
          <t>NominalDiameter_S1</t>
        </is>
      </c>
      <c r="K1" s="1" t="inlineStr">
        <is>
          <t>NominalUnit_S1</t>
        </is>
      </c>
      <c r="L1" s="1" t="inlineStr">
        <is>
          <t>MatchingPipeOd_S1</t>
        </is>
      </c>
      <c r="M1" s="1" t="inlineStr">
        <is>
          <t>EndType_S1</t>
        </is>
      </c>
      <c r="N1" s="1" t="inlineStr">
        <is>
          <t>FlangeStd_S1</t>
        </is>
      </c>
      <c r="O1" s="1" t="inlineStr">
        <is>
          <t>GasketStd_S1</t>
        </is>
      </c>
      <c r="P1" s="1" t="inlineStr">
        <is>
          <t>Facing_S1</t>
        </is>
      </c>
      <c r="Q1" s="1" t="inlineStr">
        <is>
          <t>FlangeThickness_S1</t>
        </is>
      </c>
      <c r="R1" s="1" t="inlineStr">
        <is>
          <t>PressureClass_S1</t>
        </is>
      </c>
      <c r="S1" s="1" t="inlineStr">
        <is>
          <t>Schedule_S1</t>
        </is>
      </c>
      <c r="T1" s="1" t="inlineStr">
        <is>
          <t>WallThickness_S1</t>
        </is>
      </c>
      <c r="U1" s="1" t="inlineStr">
        <is>
          <t>EngagementLength_S1</t>
        </is>
      </c>
      <c r="V1" s="1" t="inlineStr">
        <is>
          <t>LengthUnit_S1</t>
        </is>
      </c>
      <c r="W1" t="inlineStr">
        <is>
          <t>SizeRecordId_S2</t>
        </is>
      </c>
      <c r="X1" t="inlineStr">
        <is>
          <t>PortName_S2</t>
        </is>
      </c>
      <c r="Y1" t="inlineStr">
        <is>
          <t>NominalDiameter_S2</t>
        </is>
      </c>
      <c r="Z1" t="inlineStr">
        <is>
          <t>NominalUnit_S2</t>
        </is>
      </c>
      <c r="AA1" t="inlineStr">
        <is>
          <t>MatchingPipeOd_S2</t>
        </is>
      </c>
      <c r="AB1" t="inlineStr">
        <is>
          <t>EndType_S2</t>
        </is>
      </c>
      <c r="AC1" t="inlineStr">
        <is>
          <t>FlangeStd_S2</t>
        </is>
      </c>
      <c r="AD1" t="inlineStr">
        <is>
          <t>GasketStd_S2</t>
        </is>
      </c>
      <c r="AE1" t="inlineStr">
        <is>
          <t>Facing_S2</t>
        </is>
      </c>
      <c r="AF1" t="inlineStr">
        <is>
          <t>FlangeThickness_S2</t>
        </is>
      </c>
      <c r="AG1" t="inlineStr">
        <is>
          <t>PressureClass_S2</t>
        </is>
      </c>
      <c r="AH1" t="inlineStr">
        <is>
          <t>Schedule_S2</t>
        </is>
      </c>
      <c r="AI1" t="inlineStr">
        <is>
          <t>WallThickness_S2</t>
        </is>
      </c>
      <c r="AJ1" t="inlineStr">
        <is>
          <t>EngagementLength_S2</t>
        </is>
      </c>
      <c r="AK1" t="inlineStr">
        <is>
          <t>LengthUnit_S2</t>
        </is>
      </c>
      <c r="AL1" t="inlineStr">
        <is>
          <t>SizeRecordId_S3</t>
        </is>
      </c>
      <c r="AM1" t="inlineStr">
        <is>
          <t>PortName_S3</t>
        </is>
      </c>
      <c r="AN1" t="inlineStr">
        <is>
          <t>NominalDiameter_S3</t>
        </is>
      </c>
      <c r="AO1" t="inlineStr">
        <is>
          <t>NominalUnit_S3</t>
        </is>
      </c>
      <c r="AP1" t="inlineStr">
        <is>
          <t>MatchingPipeOd_S3</t>
        </is>
      </c>
      <c r="AQ1" t="inlineStr">
        <is>
          <t>EndType_S3</t>
        </is>
      </c>
      <c r="AR1" t="inlineStr">
        <is>
          <t>FlangeStd_S3</t>
        </is>
      </c>
      <c r="AS1" t="inlineStr">
        <is>
          <t>GasketStd_S3</t>
        </is>
      </c>
      <c r="AT1" t="inlineStr">
        <is>
          <t>Facing_S3</t>
        </is>
      </c>
      <c r="AU1" t="inlineStr">
        <is>
          <t>FlangeThickness_S3</t>
        </is>
      </c>
      <c r="AV1" t="inlineStr">
        <is>
          <t>PressureClass_S3</t>
        </is>
      </c>
      <c r="AW1" t="inlineStr">
        <is>
          <t>Schedule_S3</t>
        </is>
      </c>
      <c r="AX1" t="inlineStr">
        <is>
          <t>WallThickness_S3</t>
        </is>
      </c>
      <c r="AY1" t="inlineStr">
        <is>
          <t>EngagementLength_S3</t>
        </is>
      </c>
      <c r="AZ1" t="inlineStr">
        <is>
          <t>LengthUnit_S3</t>
        </is>
      </c>
      <c r="BA1" s="1" t="inlineStr">
        <is>
          <t>ShortDescription</t>
        </is>
      </c>
      <c r="BB1" s="1" t="inlineStr">
        <is>
          <t>CompatibleStandard</t>
        </is>
      </c>
      <c r="BC1" s="1" t="inlineStr">
        <is>
          <t>DesignStd</t>
        </is>
      </c>
      <c r="BD1" s="1" t="inlineStr">
        <is>
          <t>PartFamilyLongDesc</t>
        </is>
      </c>
      <c r="BE1" s="1" t="inlineStr">
        <is>
          <t>PartSizeLongDesc</t>
        </is>
      </c>
      <c r="BF1" s="1" t="inlineStr">
        <is>
          <t>Material</t>
        </is>
      </c>
      <c r="BG1" s="1" t="inlineStr">
        <is>
          <t>MaterialCode</t>
        </is>
      </c>
      <c r="BH1" s="1" t="inlineStr">
        <is>
          <t>Weight</t>
        </is>
      </c>
      <c r="BI1" s="1" t="inlineStr">
        <is>
          <t>WeightUnit</t>
        </is>
      </c>
      <c r="BJ1" s="1" t="inlineStr">
        <is>
          <t>SKEY</t>
        </is>
      </c>
      <c r="BK1" s="1" t="inlineStr">
        <is>
          <t>TYPE</t>
        </is>
      </c>
      <c r="BL1" t="inlineStr">
        <is>
          <t>PartFamilyId</t>
        </is>
      </c>
      <c r="BM1" t="inlineStr">
        <is>
          <t>CatalogPartFamilyId</t>
        </is>
      </c>
      <c r="BN1" t="inlineStr">
        <is>
          <t>PartStatus</t>
        </is>
      </c>
      <c r="BO1" s="1" t="inlineStr">
        <is>
          <t>Manufacturer</t>
        </is>
      </c>
      <c r="BP1" s="1" t="inlineStr">
        <is>
          <t>ItemCode</t>
        </is>
      </c>
      <c r="BQ1" s="1" t="inlineStr">
        <is>
          <t>DesignPressureFactor</t>
        </is>
      </c>
      <c r="BR1" t="inlineStr">
        <is>
          <t>ConnectionPortCount</t>
        </is>
      </c>
      <c r="BS1" s="1" t="inlineStr">
        <is>
          <t>ComponentDesignation</t>
        </is>
      </c>
      <c r="BT1" t="inlineStr">
        <is>
          <t>PartCategory</t>
        </is>
      </c>
      <c r="BU1" t="inlineStr">
        <is>
          <t>ContentIsoSymbolDefinition</t>
        </is>
      </c>
      <c r="BV1" t="inlineStr">
        <is>
          <t>PartVersion</t>
        </is>
      </c>
      <c r="BW1" s="1" t="inlineStr">
        <is>
          <t>Status</t>
        </is>
      </c>
      <c r="BX1" s="1" t="inlineStr">
        <is>
          <t>Length</t>
        </is>
      </c>
      <c r="BY1" s="1" t="inlineStr">
        <is>
          <t>BranchAngle1</t>
        </is>
      </c>
      <c r="BZ1" s="1" t="inlineStr">
        <is>
          <t>BranchAngle2</t>
        </is>
      </c>
      <c r="CA1" s="1" t="inlineStr">
        <is>
          <t>Eccentricity</t>
        </is>
      </c>
      <c r="CB1" t="inlineStr">
        <is>
          <t>PnPClassName</t>
        </is>
      </c>
      <c r="CC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DN</t>
        </is>
      </c>
      <c r="F2" s="2" t="inlineStr">
        <is>
          <t>DN2</t>
        </is>
      </c>
      <c r="G2" s="2" t="inlineStr">
        <is>
          <t>ContentGeometryParamDefinition</t>
        </is>
      </c>
      <c r="H2" s="2" t="inlineStr">
        <is>
          <t>SizeRecordId_S1</t>
        </is>
      </c>
      <c r="I2" s="78" t="inlineStr">
        <is>
          <t>PortName_S1</t>
        </is>
      </c>
      <c r="J2" s="2" t="inlineStr">
        <is>
          <t>NominalDiameter_S1</t>
        </is>
      </c>
      <c r="K2" s="2" t="inlineStr">
        <is>
          <t>NominalUnit_S1</t>
        </is>
      </c>
      <c r="L2" s="2" t="inlineStr">
        <is>
          <t>MatchingPipeOd_S1</t>
        </is>
      </c>
      <c r="M2" s="2" t="inlineStr">
        <is>
          <t>EndType_S1</t>
        </is>
      </c>
      <c r="N2" s="2" t="inlineStr">
        <is>
          <t>FlangeStd_S1</t>
        </is>
      </c>
      <c r="O2" s="2" t="inlineStr">
        <is>
          <t>GasketStd_S1</t>
        </is>
      </c>
      <c r="P2" s="2" t="inlineStr">
        <is>
          <t>Facing_S1</t>
        </is>
      </c>
      <c r="Q2" s="2" t="inlineStr">
        <is>
          <t>FlangeThickness_S1</t>
        </is>
      </c>
      <c r="R2" s="2" t="inlineStr">
        <is>
          <t>PressureClass_S1</t>
        </is>
      </c>
      <c r="S2" s="2" t="inlineStr">
        <is>
          <t>Schedule_S1</t>
        </is>
      </c>
      <c r="T2" s="2" t="inlineStr">
        <is>
          <t>WallThickness_S1</t>
        </is>
      </c>
      <c r="U2" s="2" t="inlineStr">
        <is>
          <t>EngagementLength_S1</t>
        </is>
      </c>
      <c r="V2" s="2" t="inlineStr">
        <is>
          <t>LengthUnit_S1</t>
        </is>
      </c>
      <c r="W2" t="inlineStr">
        <is>
          <t>SizeRecordId_S2</t>
        </is>
      </c>
      <c r="X2" t="inlineStr">
        <is>
          <t>PortName_S2</t>
        </is>
      </c>
      <c r="Y2" t="inlineStr">
        <is>
          <t>NominalDiameter_S2</t>
        </is>
      </c>
      <c r="Z2" t="inlineStr">
        <is>
          <t>NominalUnit_S2</t>
        </is>
      </c>
      <c r="AA2" t="inlineStr">
        <is>
          <t>MatchingPipeOd_S2</t>
        </is>
      </c>
      <c r="AB2" t="inlineStr">
        <is>
          <t>EndType_S2</t>
        </is>
      </c>
      <c r="AC2" t="inlineStr">
        <is>
          <t>FlangeStd_S2</t>
        </is>
      </c>
      <c r="AD2" t="inlineStr">
        <is>
          <t>GasketStd_S2</t>
        </is>
      </c>
      <c r="AE2" t="inlineStr">
        <is>
          <t>Facing_S2</t>
        </is>
      </c>
      <c r="AF2" t="inlineStr">
        <is>
          <t>FlangeThickness_S2</t>
        </is>
      </c>
      <c r="AG2" t="inlineStr">
        <is>
          <t>PressureClass_S2</t>
        </is>
      </c>
      <c r="AH2" t="inlineStr">
        <is>
          <t>Schedule_S2</t>
        </is>
      </c>
      <c r="AI2" t="inlineStr">
        <is>
          <t>WallThickness_S2</t>
        </is>
      </c>
      <c r="AJ2" t="inlineStr">
        <is>
          <t>EngagementLength_S2</t>
        </is>
      </c>
      <c r="AK2" t="inlineStr">
        <is>
          <t>LengthUnit_S2</t>
        </is>
      </c>
      <c r="AL2" t="inlineStr">
        <is>
          <t>SizeRecordId_S3</t>
        </is>
      </c>
      <c r="AM2" t="inlineStr">
        <is>
          <t>PortName_S3</t>
        </is>
      </c>
      <c r="AN2" t="inlineStr">
        <is>
          <t>NominalDiameter_S3</t>
        </is>
      </c>
      <c r="AO2" t="inlineStr">
        <is>
          <t>NominalUnit_S3</t>
        </is>
      </c>
      <c r="AP2" t="inlineStr">
        <is>
          <t>MatchingPipeOd_S3</t>
        </is>
      </c>
      <c r="AQ2" t="inlineStr">
        <is>
          <t>EndType_S3</t>
        </is>
      </c>
      <c r="AR2" t="inlineStr">
        <is>
          <t>FlangeStd_S3</t>
        </is>
      </c>
      <c r="AS2" t="inlineStr">
        <is>
          <t>GasketStd_S3</t>
        </is>
      </c>
      <c r="AT2" t="inlineStr">
        <is>
          <t>Facing_S3</t>
        </is>
      </c>
      <c r="AU2" t="inlineStr">
        <is>
          <t>FlangeThickness_S3</t>
        </is>
      </c>
      <c r="AV2" t="inlineStr">
        <is>
          <t>PressureClass_S3</t>
        </is>
      </c>
      <c r="AW2" t="inlineStr">
        <is>
          <t>Schedule_S3</t>
        </is>
      </c>
      <c r="AX2" t="inlineStr">
        <is>
          <t>WallThickness_S3</t>
        </is>
      </c>
      <c r="AY2" t="inlineStr">
        <is>
          <t>EngagementLength_S3</t>
        </is>
      </c>
      <c r="AZ2" t="inlineStr">
        <is>
          <t>LengthUnit_S3</t>
        </is>
      </c>
      <c r="BA2" s="2" t="inlineStr">
        <is>
          <t>ShortDescription</t>
        </is>
      </c>
      <c r="BB2" s="2" t="inlineStr">
        <is>
          <t>CompatibleStandard</t>
        </is>
      </c>
      <c r="BC2" s="2" t="inlineStr">
        <is>
          <t>DesignStd</t>
        </is>
      </c>
      <c r="BD2" s="2" t="inlineStr">
        <is>
          <t>PartFamilyLongDesc</t>
        </is>
      </c>
      <c r="BE2" s="2" t="inlineStr">
        <is>
          <t>PartSizeLongDesc</t>
        </is>
      </c>
      <c r="BF2" s="2" t="inlineStr">
        <is>
          <t>Material</t>
        </is>
      </c>
      <c r="BG2" s="2" t="inlineStr">
        <is>
          <t>MaterialCode</t>
        </is>
      </c>
      <c r="BH2" s="2" t="inlineStr">
        <is>
          <t>Weight</t>
        </is>
      </c>
      <c r="BI2" s="2" t="inlineStr">
        <is>
          <t>WeightUnit</t>
        </is>
      </c>
      <c r="BJ2" s="2" t="inlineStr">
        <is>
          <t>SKEY</t>
        </is>
      </c>
      <c r="BK2" s="2" t="inlineStr">
        <is>
          <t>TYPE</t>
        </is>
      </c>
      <c r="BL2" s="2" t="inlineStr">
        <is>
          <t>PartFamilyId</t>
        </is>
      </c>
      <c r="BM2" s="2" t="inlineStr">
        <is>
          <t>CatalogPartFamilyId</t>
        </is>
      </c>
      <c r="BN2" s="2" t="inlineStr">
        <is>
          <t>PartStatus</t>
        </is>
      </c>
      <c r="BO2" s="2" t="inlineStr">
        <is>
          <t>Manufacturer</t>
        </is>
      </c>
      <c r="BP2" s="2" t="inlineStr">
        <is>
          <t>ItemCode</t>
        </is>
      </c>
      <c r="BQ2" s="2" t="inlineStr">
        <is>
          <t>DesignPressureFactor</t>
        </is>
      </c>
      <c r="BR2" s="2" t="inlineStr">
        <is>
          <t>ConnectionPortCount</t>
        </is>
      </c>
      <c r="BS2" s="2" t="inlineStr">
        <is>
          <t>ComponentDesignation</t>
        </is>
      </c>
      <c r="BT2" s="2" t="inlineStr">
        <is>
          <t>PartCategory</t>
        </is>
      </c>
      <c r="BU2" s="2" t="inlineStr">
        <is>
          <t>ContentIsoSymbolDefinition</t>
        </is>
      </c>
      <c r="BV2" s="2" t="inlineStr">
        <is>
          <t>PartVersion</t>
        </is>
      </c>
      <c r="BW2" s="2" t="inlineStr">
        <is>
          <t>Status</t>
        </is>
      </c>
      <c r="BX2" s="2" t="inlineStr">
        <is>
          <t>Length</t>
        </is>
      </c>
      <c r="BY2" s="2" t="inlineStr">
        <is>
          <t>BranchAngle1</t>
        </is>
      </c>
      <c r="BZ2" s="2" t="inlineStr">
        <is>
          <t>BranchAngle2</t>
        </is>
      </c>
      <c r="CA2" s="2" t="inlineStr">
        <is>
          <t>Eccentricity</t>
        </is>
      </c>
      <c r="CB2" s="2" t="inlineStr">
        <is>
          <t>PnPClassName</t>
        </is>
      </c>
      <c r="CC2" s="2" t="inlineStr">
        <is>
          <t>ExcelFormatVersion_2.0</t>
        </is>
      </c>
    </row>
    <row r="3">
      <c r="A3" s="1" t="n"/>
      <c r="B3" s="1" t="n"/>
      <c r="C3" s="1" t="n"/>
      <c r="D3" s="1" t="n"/>
      <c r="E3" s="1" t="n"/>
      <c r="F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K3" s="1" t="n"/>
      <c r="AL3" s="1" t="n"/>
      <c r="AM3" s="1" t="n"/>
      <c r="AO3" s="1" t="n"/>
      <c r="AS3" s="1" t="n"/>
      <c r="AT3" s="1" t="n"/>
      <c r="AU3" s="1" t="n"/>
      <c r="AV3" s="1" t="n"/>
      <c r="AW3" s="1" t="n"/>
    </row>
    <row r="4">
      <c r="A4" s="1" t="n"/>
      <c r="B4" s="1" t="n"/>
      <c r="C4" s="1" t="n"/>
      <c r="D4" s="1" t="n"/>
      <c r="E4" s="1" t="n"/>
      <c r="F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K4" s="1" t="n"/>
      <c r="AL4" s="1" t="n"/>
      <c r="AM4" s="1" t="n"/>
      <c r="AO4" s="1" t="n"/>
      <c r="AS4" s="1" t="n"/>
      <c r="AT4" s="1" t="n"/>
      <c r="AU4" s="1" t="n"/>
      <c r="AV4" s="1" t="n"/>
      <c r="AW4" s="1" t="n"/>
    </row>
    <row r="5">
      <c r="A5" s="1" t="n"/>
      <c r="B5" s="1" t="n"/>
      <c r="C5" s="1" t="n"/>
      <c r="D5" s="1" t="n"/>
      <c r="E5" s="1" t="n"/>
      <c r="F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K5" s="1" t="n"/>
      <c r="AL5" s="1" t="n"/>
      <c r="AM5" s="1" t="n"/>
      <c r="AO5" s="1" t="n"/>
      <c r="AS5" s="1" t="n"/>
      <c r="AT5" s="1" t="n"/>
      <c r="AU5" s="1" t="n"/>
      <c r="AV5" s="1" t="n"/>
      <c r="AW5" s="1" t="n"/>
    </row>
  </sheetData>
  <dataValidations count="2">
    <dataValidation sqref="AE3:AE20" showDropDown="0" showInputMessage="1" showErrorMessage="1" allowBlank="1" errorTitle="" error="" promptTitle="" prompt="" type="list" errorStyle="stop" operator="between">
      <formula1>"LB,KG"</formula1>
    </dataValidation>
    <dataValidation sqref="J3:J20 L3:L20 Q3:Q20 T3:U20 AD3:AD20 AJ3:AJ20 AN3:AN20 AT3:AV20" showDropDown="0" showInputMessage="1" showErrorMessage="1" allowBlank="1" errorTitle="" error="" promptTitle="" prompt="" type="decimal" errorStyle="stop" operator="between">
      <formula1>-5</formula1>
      <formula2>100000</formula2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B5"/>
  <sheetViews>
    <sheetView topLeftCell="A2" workbookViewId="0">
      <selection activeCell="A2" sqref="A2 1:1048576"/>
    </sheetView>
  </sheetViews>
  <sheetFormatPr baseColWidth="8" defaultColWidth="9.139196" defaultRowHeight="15"/>
  <cols>
    <col width="9.140625" customWidth="1" style="1" min="1" max="1"/>
    <col width="5.425781" bestFit="1" customWidth="1" style="1" min="2" max="2"/>
    <col width="23.710938" bestFit="1" customWidth="1" style="1" min="3" max="3"/>
    <col width="111.855469" bestFit="1" customWidth="1" style="1" min="4" max="4"/>
    <col width="3.710938" bestFit="1" customWidth="1" style="1" min="5" max="5"/>
    <col width="32.425781" bestFit="1" customWidth="1" min="6" max="6"/>
    <col width="37.570312" bestFit="1" customWidth="1" min="7" max="7"/>
    <col width="15.855469" bestFit="1" customWidth="1" style="1" min="8" max="8"/>
    <col width="23" bestFit="1" customWidth="1" style="1" min="9" max="9"/>
    <col width="18.425781" bestFit="1" customWidth="1" style="1" min="10" max="10"/>
    <col width="22" bestFit="1" customWidth="1" style="1" min="11" max="11"/>
    <col width="14.425781" bestFit="1" customWidth="1" style="1" min="12" max="12"/>
    <col width="15.570312" bestFit="1" customWidth="1" style="1" min="13" max="13"/>
    <col width="15.855469" bestFit="1" customWidth="1" style="1" min="14" max="14"/>
    <col width="12.285156" bestFit="1" customWidth="1" style="1" min="15" max="15"/>
    <col width="21.570312" bestFit="1" customWidth="1" style="1" min="16" max="16"/>
    <col width="19.140625" bestFit="1" customWidth="1" style="1" min="17" max="17"/>
    <col width="15" bestFit="1" customWidth="1" style="1" min="18" max="18"/>
    <col width="19.710938" bestFit="1" customWidth="1" style="1" min="19" max="19"/>
    <col width="24.140625" bestFit="1" customWidth="1" style="1" min="20" max="20"/>
    <col width="16.710938" bestFit="1" customWidth="1" style="1" min="21" max="21"/>
    <col width="18.140625" bestFit="1" customWidth="1" style="1" min="22" max="22"/>
    <col width="19.425781" bestFit="1" customWidth="1" style="1" min="23" max="23"/>
    <col width="9.855468999999999" bestFit="1" customWidth="1" style="1" min="24" max="24"/>
    <col width="58.425781" bestFit="1" customWidth="1" style="1" min="25" max="25"/>
    <col width="16.570312" bestFit="1" customWidth="1" style="1" min="26" max="26"/>
    <col width="8.570311999999999" bestFit="1" customWidth="1" style="1" min="27" max="27"/>
    <col width="13.285156" bestFit="1" customWidth="1" style="1" min="28" max="28"/>
    <col width="7.570312" bestFit="1" customWidth="1" style="1" min="29" max="29"/>
    <col width="11.425781" bestFit="1" customWidth="1" style="1" min="30" max="30"/>
    <col width="5.285156" bestFit="1" customWidth="1" style="1" min="31" max="32"/>
    <col width="36.570312" bestFit="1" customWidth="1" min="33" max="33"/>
    <col width="19" bestFit="1" customWidth="1" min="34" max="34"/>
    <col width="10" bestFit="1" customWidth="1" min="35" max="35"/>
    <col width="13.285156" bestFit="1" customWidth="1" style="1" min="36" max="36"/>
    <col width="9.710938000000001" bestFit="1" customWidth="1" style="1" min="37" max="37"/>
    <col width="20.425781" bestFit="1" customWidth="1" style="1" min="38" max="38"/>
    <col width="20.425781" bestFit="1" customWidth="1" min="39" max="39"/>
    <col width="22.425781" bestFit="1" customWidth="1" style="1" min="40" max="40"/>
    <col width="12.425781" bestFit="1" customWidth="1" min="41" max="41"/>
    <col width="26.855469" bestFit="1" customWidth="1" min="42" max="42"/>
    <col width="11.425781" bestFit="1" customWidth="1" min="43" max="43"/>
    <col width="6.425781" bestFit="1" customWidth="1" style="1" min="44" max="44"/>
    <col width="7" bestFit="1" customWidth="1" style="1" min="45" max="45"/>
    <col width="13.285156" bestFit="1" customWidth="1" style="1" min="46" max="47"/>
    <col width="11.140625" bestFit="1" customWidth="1" style="1" min="48" max="48"/>
    <col width="14.285156" bestFit="1" customWidth="1" min="49" max="49"/>
    <col width="22.710938" bestFit="1" customWidth="1" min="50" max="50"/>
    <col width="9.140625" customWidth="1" min="51" max="81"/>
  </cols>
  <sheetData>
    <row r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DN</t>
        </is>
      </c>
      <c r="F1" t="inlineStr">
        <is>
          <t>ContentGeometryParamDefinition</t>
        </is>
      </c>
      <c r="G1" t="inlineStr">
        <is>
          <t>SizeRecordId_S1</t>
        </is>
      </c>
      <c r="H1" s="77" t="inlineStr">
        <is>
          <t>PortName_S1</t>
        </is>
      </c>
      <c r="I1" s="1" t="inlineStr">
        <is>
          <t>NominalDiameter_S1</t>
        </is>
      </c>
      <c r="J1" s="1" t="inlineStr">
        <is>
          <t>NominalUnit_S1</t>
        </is>
      </c>
      <c r="K1" s="1" t="inlineStr">
        <is>
          <t>MatchingPipeOd_S1</t>
        </is>
      </c>
      <c r="L1" s="1" t="inlineStr">
        <is>
          <t>EndType_S1</t>
        </is>
      </c>
      <c r="M1" s="1" t="inlineStr">
        <is>
          <t>FlangeStd_S1</t>
        </is>
      </c>
      <c r="N1" s="1" t="inlineStr">
        <is>
          <t>GasketStd_S1</t>
        </is>
      </c>
      <c r="O1" s="1" t="inlineStr">
        <is>
          <t>Facing_S1</t>
        </is>
      </c>
      <c r="P1" s="1" t="inlineStr">
        <is>
          <t>FlangeThickness_S1</t>
        </is>
      </c>
      <c r="Q1" s="1" t="inlineStr">
        <is>
          <t>PressureClass_S1</t>
        </is>
      </c>
      <c r="R1" s="1" t="inlineStr">
        <is>
          <t>Schedule_S1</t>
        </is>
      </c>
      <c r="S1" s="1" t="inlineStr">
        <is>
          <t>WallThickness_S1</t>
        </is>
      </c>
      <c r="T1" s="1" t="inlineStr">
        <is>
          <t>EngagementLength_S1</t>
        </is>
      </c>
      <c r="U1" s="1" t="inlineStr">
        <is>
          <t>LengthUnit_S1</t>
        </is>
      </c>
      <c r="V1" t="inlineStr">
        <is>
          <t>SizeRecordId_S2</t>
        </is>
      </c>
      <c r="W1" t="inlineStr">
        <is>
          <t>PortName_S2</t>
        </is>
      </c>
      <c r="X1" t="inlineStr">
        <is>
          <t>NominalDiameter_S2</t>
        </is>
      </c>
      <c r="Y1" t="inlineStr">
        <is>
          <t>NominalUnit_S2</t>
        </is>
      </c>
      <c r="Z1" t="inlineStr">
        <is>
          <t>MatchingPipeOd_S2</t>
        </is>
      </c>
      <c r="AA1" t="inlineStr">
        <is>
          <t>EndType_S2</t>
        </is>
      </c>
      <c r="AB1" t="inlineStr">
        <is>
          <t>FlangeStd_S2</t>
        </is>
      </c>
      <c r="AC1" t="inlineStr">
        <is>
          <t>GasketStd_S2</t>
        </is>
      </c>
      <c r="AD1" t="inlineStr">
        <is>
          <t>Facing_S2</t>
        </is>
      </c>
      <c r="AE1" t="inlineStr">
        <is>
          <t>FlangeThickness_S2</t>
        </is>
      </c>
      <c r="AF1" t="inlineStr">
        <is>
          <t>PressureClass_S2</t>
        </is>
      </c>
      <c r="AG1" t="inlineStr">
        <is>
          <t>Schedule_S2</t>
        </is>
      </c>
      <c r="AH1" t="inlineStr">
        <is>
          <t>WallThickness_S2</t>
        </is>
      </c>
      <c r="AI1" t="inlineStr">
        <is>
          <t>EngagementLength_S2</t>
        </is>
      </c>
      <c r="AJ1" t="inlineStr">
        <is>
          <t>LengthUnit_S2</t>
        </is>
      </c>
      <c r="AK1" t="inlineStr">
        <is>
          <t>SizeRecordId_S3</t>
        </is>
      </c>
      <c r="AL1" t="inlineStr">
        <is>
          <t>PortName_S3</t>
        </is>
      </c>
      <c r="AM1" t="inlineStr">
        <is>
          <t>NominalDiameter_S3</t>
        </is>
      </c>
      <c r="AN1" t="inlineStr">
        <is>
          <t>NominalUnit_S3</t>
        </is>
      </c>
      <c r="AO1" t="inlineStr">
        <is>
          <t>MatchingPipeOd_S3</t>
        </is>
      </c>
      <c r="AP1" t="inlineStr">
        <is>
          <t>EndType_S3</t>
        </is>
      </c>
      <c r="AQ1" t="inlineStr">
        <is>
          <t>FlangeStd_S3</t>
        </is>
      </c>
      <c r="AR1" t="inlineStr">
        <is>
          <t>GasketStd_S3</t>
        </is>
      </c>
      <c r="AS1" t="inlineStr">
        <is>
          <t>Facing_S3</t>
        </is>
      </c>
      <c r="AT1" t="inlineStr">
        <is>
          <t>FlangeThickness_S3</t>
        </is>
      </c>
      <c r="AU1" t="inlineStr">
        <is>
          <t>PressureClass_S3</t>
        </is>
      </c>
      <c r="AV1" t="inlineStr">
        <is>
          <t>Schedule_S3</t>
        </is>
      </c>
      <c r="AW1" t="inlineStr">
        <is>
          <t>WallThickness_S3</t>
        </is>
      </c>
      <c r="AX1" t="inlineStr">
        <is>
          <t>EngagementLength_S3</t>
        </is>
      </c>
      <c r="AY1" t="inlineStr">
        <is>
          <t>LengthUnit_S3</t>
        </is>
      </c>
      <c r="AZ1" s="1" t="inlineStr">
        <is>
          <t>ShortDescription</t>
        </is>
      </c>
      <c r="BA1" s="1" t="inlineStr">
        <is>
          <t>CompatibleStandard</t>
        </is>
      </c>
      <c r="BB1" s="1" t="inlineStr">
        <is>
          <t>DesignStd</t>
        </is>
      </c>
      <c r="BC1" s="1" t="inlineStr">
        <is>
          <t>PartFamilyLongDesc</t>
        </is>
      </c>
      <c r="BD1" s="1" t="inlineStr">
        <is>
          <t>PartSizeLongDesc</t>
        </is>
      </c>
      <c r="BE1" s="1" t="inlineStr">
        <is>
          <t>Material</t>
        </is>
      </c>
      <c r="BF1" s="1" t="inlineStr">
        <is>
          <t>MaterialCode</t>
        </is>
      </c>
      <c r="BG1" s="1" t="inlineStr">
        <is>
          <t>Weight</t>
        </is>
      </c>
      <c r="BH1" s="1" t="inlineStr">
        <is>
          <t>WeightUnit</t>
        </is>
      </c>
      <c r="BI1" s="1" t="inlineStr">
        <is>
          <t>SKEY</t>
        </is>
      </c>
      <c r="BJ1" s="1" t="inlineStr">
        <is>
          <t>TYPE</t>
        </is>
      </c>
      <c r="BK1" t="inlineStr">
        <is>
          <t>PartFamilyId</t>
        </is>
      </c>
      <c r="BL1" t="inlineStr">
        <is>
          <t>CatalogPartFamilyId</t>
        </is>
      </c>
      <c r="BM1" t="inlineStr">
        <is>
          <t>PartStatus</t>
        </is>
      </c>
      <c r="BN1" s="1" t="inlineStr">
        <is>
          <t>Manufacturer</t>
        </is>
      </c>
      <c r="BO1" s="1" t="inlineStr">
        <is>
          <t>ItemCode</t>
        </is>
      </c>
      <c r="BP1" s="1" t="inlineStr">
        <is>
          <t>DesignPressureFactor</t>
        </is>
      </c>
      <c r="BQ1" t="inlineStr">
        <is>
          <t>ConnectionPortCount</t>
        </is>
      </c>
      <c r="BR1" s="1" t="inlineStr">
        <is>
          <t>ComponentDesignation</t>
        </is>
      </c>
      <c r="BS1" t="inlineStr">
        <is>
          <t>PartCategory</t>
        </is>
      </c>
      <c r="BT1" t="inlineStr">
        <is>
          <t>ContentIsoSymbolDefinition</t>
        </is>
      </c>
      <c r="BU1" t="inlineStr">
        <is>
          <t>PartVersion</t>
        </is>
      </c>
      <c r="BV1" s="1" t="inlineStr">
        <is>
          <t>Status</t>
        </is>
      </c>
      <c r="BW1" s="1" t="inlineStr">
        <is>
          <t>Length</t>
        </is>
      </c>
      <c r="BX1" s="1" t="inlineStr">
        <is>
          <t>BranchAngle1</t>
        </is>
      </c>
      <c r="BY1" s="1" t="inlineStr">
        <is>
          <t>BranchAngle2</t>
        </is>
      </c>
      <c r="BZ1" s="1" t="inlineStr">
        <is>
          <t>Eccentricity</t>
        </is>
      </c>
      <c r="CA1" t="inlineStr">
        <is>
          <t>PnPClassName</t>
        </is>
      </c>
      <c r="CB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DN</t>
        </is>
      </c>
      <c r="F2" s="2" t="inlineStr">
        <is>
          <t>ContentGeometryParamDefinition</t>
        </is>
      </c>
      <c r="G2" s="2" t="inlineStr">
        <is>
          <t>SizeRecordId_S1</t>
        </is>
      </c>
      <c r="H2" s="78" t="inlineStr">
        <is>
          <t>PortName_S1</t>
        </is>
      </c>
      <c r="I2" s="2" t="inlineStr">
        <is>
          <t>NominalDiameter_S1</t>
        </is>
      </c>
      <c r="J2" s="2" t="inlineStr">
        <is>
          <t>NominalUnit_S1</t>
        </is>
      </c>
      <c r="K2" s="2" t="inlineStr">
        <is>
          <t>MatchingPipeOd_S1</t>
        </is>
      </c>
      <c r="L2" s="2" t="inlineStr">
        <is>
          <t>EndType_S1</t>
        </is>
      </c>
      <c r="M2" s="2" t="inlineStr">
        <is>
          <t>FlangeStd_S1</t>
        </is>
      </c>
      <c r="N2" s="2" t="inlineStr">
        <is>
          <t>GasketStd_S1</t>
        </is>
      </c>
      <c r="O2" s="2" t="inlineStr">
        <is>
          <t>Facing_S1</t>
        </is>
      </c>
      <c r="P2" s="2" t="inlineStr">
        <is>
          <t>FlangeThickness_S1</t>
        </is>
      </c>
      <c r="Q2" s="2" t="inlineStr">
        <is>
          <t>PressureClass_S1</t>
        </is>
      </c>
      <c r="R2" s="2" t="inlineStr">
        <is>
          <t>Schedule_S1</t>
        </is>
      </c>
      <c r="S2" s="2" t="inlineStr">
        <is>
          <t>WallThickness_S1</t>
        </is>
      </c>
      <c r="T2" s="2" t="inlineStr">
        <is>
          <t>EngagementLength_S1</t>
        </is>
      </c>
      <c r="U2" s="2" t="inlineStr">
        <is>
          <t>LengthUnit_S1</t>
        </is>
      </c>
      <c r="V2" t="inlineStr">
        <is>
          <t>SizeRecordId_S2</t>
        </is>
      </c>
      <c r="W2" t="inlineStr">
        <is>
          <t>PortName_S2</t>
        </is>
      </c>
      <c r="X2" t="inlineStr">
        <is>
          <t>NominalDiameter_S2</t>
        </is>
      </c>
      <c r="Y2" t="inlineStr">
        <is>
          <t>NominalUnit_S2</t>
        </is>
      </c>
      <c r="Z2" t="inlineStr">
        <is>
          <t>MatchingPipeOd_S2</t>
        </is>
      </c>
      <c r="AA2" t="inlineStr">
        <is>
          <t>EndType_S2</t>
        </is>
      </c>
      <c r="AB2" t="inlineStr">
        <is>
          <t>FlangeStd_S2</t>
        </is>
      </c>
      <c r="AC2" t="inlineStr">
        <is>
          <t>GasketStd_S2</t>
        </is>
      </c>
      <c r="AD2" t="inlineStr">
        <is>
          <t>Facing_S2</t>
        </is>
      </c>
      <c r="AE2" t="inlineStr">
        <is>
          <t>FlangeThickness_S2</t>
        </is>
      </c>
      <c r="AF2" t="inlineStr">
        <is>
          <t>PressureClass_S2</t>
        </is>
      </c>
      <c r="AG2" t="inlineStr">
        <is>
          <t>Schedule_S2</t>
        </is>
      </c>
      <c r="AH2" t="inlineStr">
        <is>
          <t>WallThickness_S2</t>
        </is>
      </c>
      <c r="AI2" t="inlineStr">
        <is>
          <t>EngagementLength_S2</t>
        </is>
      </c>
      <c r="AJ2" t="inlineStr">
        <is>
          <t>LengthUnit_S2</t>
        </is>
      </c>
      <c r="AK2" t="inlineStr">
        <is>
          <t>SizeRecordId_S3</t>
        </is>
      </c>
      <c r="AL2" t="inlineStr">
        <is>
          <t>PortName_S3</t>
        </is>
      </c>
      <c r="AM2" t="inlineStr">
        <is>
          <t>NominalDiameter_S3</t>
        </is>
      </c>
      <c r="AN2" t="inlineStr">
        <is>
          <t>NominalUnit_S3</t>
        </is>
      </c>
      <c r="AO2" t="inlineStr">
        <is>
          <t>MatchingPipeOd_S3</t>
        </is>
      </c>
      <c r="AP2" t="inlineStr">
        <is>
          <t>EndType_S3</t>
        </is>
      </c>
      <c r="AQ2" t="inlineStr">
        <is>
          <t>FlangeStd_S3</t>
        </is>
      </c>
      <c r="AR2" t="inlineStr">
        <is>
          <t>GasketStd_S3</t>
        </is>
      </c>
      <c r="AS2" t="inlineStr">
        <is>
          <t>Facing_S3</t>
        </is>
      </c>
      <c r="AT2" t="inlineStr">
        <is>
          <t>FlangeThickness_S3</t>
        </is>
      </c>
      <c r="AU2" t="inlineStr">
        <is>
          <t>PressureClass_S3</t>
        </is>
      </c>
      <c r="AV2" t="inlineStr">
        <is>
          <t>Schedule_S3</t>
        </is>
      </c>
      <c r="AW2" t="inlineStr">
        <is>
          <t>WallThickness_S3</t>
        </is>
      </c>
      <c r="AX2" t="inlineStr">
        <is>
          <t>EngagementLength_S3</t>
        </is>
      </c>
      <c r="AY2" t="inlineStr">
        <is>
          <t>LengthUnit_S3</t>
        </is>
      </c>
      <c r="AZ2" s="2" t="inlineStr">
        <is>
          <t>ShortDescription</t>
        </is>
      </c>
      <c r="BA2" s="2" t="inlineStr">
        <is>
          <t>CompatibleStandard</t>
        </is>
      </c>
      <c r="BB2" s="2" t="inlineStr">
        <is>
          <t>DesignStd</t>
        </is>
      </c>
      <c r="BC2" s="2" t="inlineStr">
        <is>
          <t>PartFamilyLongDesc</t>
        </is>
      </c>
      <c r="BD2" s="2" t="inlineStr">
        <is>
          <t>PartSizeLongDesc</t>
        </is>
      </c>
      <c r="BE2" s="2" t="inlineStr">
        <is>
          <t>Material</t>
        </is>
      </c>
      <c r="BF2" s="2" t="inlineStr">
        <is>
          <t>MaterialCode</t>
        </is>
      </c>
      <c r="BG2" s="2" t="inlineStr">
        <is>
          <t>Weight</t>
        </is>
      </c>
      <c r="BH2" s="2" t="inlineStr">
        <is>
          <t>WeightUnit</t>
        </is>
      </c>
      <c r="BI2" s="2" t="inlineStr">
        <is>
          <t>SKEY</t>
        </is>
      </c>
      <c r="BJ2" s="2" t="inlineStr">
        <is>
          <t>TYPE</t>
        </is>
      </c>
      <c r="BK2" s="2" t="inlineStr">
        <is>
          <t>PartFamilyId</t>
        </is>
      </c>
      <c r="BL2" s="2" t="inlineStr">
        <is>
          <t>CatalogPartFamilyId</t>
        </is>
      </c>
      <c r="BM2" s="2" t="inlineStr">
        <is>
          <t>PartStatus</t>
        </is>
      </c>
      <c r="BN2" s="2" t="inlineStr">
        <is>
          <t>Manufacturer</t>
        </is>
      </c>
      <c r="BO2" s="2" t="inlineStr">
        <is>
          <t>ItemCode</t>
        </is>
      </c>
      <c r="BP2" s="2" t="inlineStr">
        <is>
          <t>DesignPressureFactor</t>
        </is>
      </c>
      <c r="BQ2" s="2" t="inlineStr">
        <is>
          <t>ConnectionPortCount</t>
        </is>
      </c>
      <c r="BR2" s="2" t="inlineStr">
        <is>
          <t>ComponentDesignation</t>
        </is>
      </c>
      <c r="BS2" s="2" t="inlineStr">
        <is>
          <t>PartCategory</t>
        </is>
      </c>
      <c r="BT2" s="2" t="inlineStr">
        <is>
          <t>ContentIsoSymbolDefinition</t>
        </is>
      </c>
      <c r="BU2" s="2" t="inlineStr">
        <is>
          <t>PartVersion</t>
        </is>
      </c>
      <c r="BV2" s="2" t="inlineStr">
        <is>
          <t>Status</t>
        </is>
      </c>
      <c r="BW2" s="2" t="inlineStr">
        <is>
          <t>Length</t>
        </is>
      </c>
      <c r="BX2" s="2" t="inlineStr">
        <is>
          <t>BranchAngle1</t>
        </is>
      </c>
      <c r="BY2" s="2" t="inlineStr">
        <is>
          <t>BranchAngle2</t>
        </is>
      </c>
      <c r="BZ2" s="2" t="inlineStr">
        <is>
          <t>Eccentricity</t>
        </is>
      </c>
      <c r="CA2" s="2" t="inlineStr">
        <is>
          <t>PnPClassName</t>
        </is>
      </c>
      <c r="CB2" s="2" t="inlineStr">
        <is>
          <t>ExcelFormatVersion_2.0</t>
        </is>
      </c>
    </row>
    <row r="3">
      <c r="A3" s="1" t="n"/>
      <c r="B3" s="1" t="n"/>
      <c r="C3" s="1" t="n"/>
      <c r="D3" s="1" t="n"/>
      <c r="E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J3" s="1" t="n"/>
      <c r="AK3" s="1" t="n"/>
      <c r="AL3" s="1" t="n"/>
      <c r="AN3" s="1" t="n"/>
      <c r="AR3" s="1" t="n"/>
      <c r="AS3" s="1" t="n"/>
      <c r="AT3" s="1" t="n"/>
      <c r="AU3" s="1" t="n"/>
      <c r="AV3" s="1" t="n"/>
    </row>
    <row r="4">
      <c r="A4" s="1" t="n"/>
      <c r="B4" s="1" t="n"/>
      <c r="C4" s="1" t="n"/>
      <c r="D4" s="1" t="n"/>
      <c r="E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J4" s="1" t="n"/>
      <c r="AK4" s="1" t="n"/>
      <c r="AL4" s="1" t="n"/>
      <c r="AN4" s="1" t="n"/>
      <c r="AR4" s="1" t="n"/>
      <c r="AS4" s="1" t="n"/>
      <c r="AT4" s="1" t="n"/>
      <c r="AU4" s="1" t="n"/>
      <c r="AV4" s="1" t="n"/>
    </row>
    <row r="5">
      <c r="A5" s="1" t="n"/>
      <c r="B5" s="1" t="n"/>
      <c r="C5" s="1" t="n"/>
      <c r="D5" s="1" t="n"/>
      <c r="E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J5" s="1" t="n"/>
      <c r="AK5" s="1" t="n"/>
      <c r="AL5" s="1" t="n"/>
      <c r="AN5" s="1" t="n"/>
      <c r="AR5" s="1" t="n"/>
      <c r="AS5" s="1" t="n"/>
      <c r="AT5" s="1" t="n"/>
      <c r="AU5" s="1" t="n"/>
      <c r="AV5" s="1" t="n"/>
    </row>
  </sheetData>
  <dataValidations count="2">
    <dataValidation sqref="AD3:AD20" showDropDown="0" showInputMessage="1" showErrorMessage="1" allowBlank="1" errorTitle="" error="" promptTitle="" prompt="" type="list" errorStyle="stop" operator="between">
      <formula1>"LB,KG"</formula1>
    </dataValidation>
    <dataValidation sqref="I3:I20 K3:K20 P3:P20 S3:T20 AC3:AC20 AI3:AI20 AM3:AM20 AS3:AU20" showDropDown="0" showInputMessage="1" showErrorMessage="1" allowBlank="1" errorTitle="" error="" promptTitle="" prompt="" type="decimal" errorStyle="stop" operator="between">
      <formula1>-5</formula1>
      <formula2>100000</formula2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5"/>
  <sheetViews>
    <sheetView topLeftCell="A2" workbookViewId="0">
      <selection activeCell="D22" sqref="D22"/>
    </sheetView>
  </sheetViews>
  <sheetFormatPr baseColWidth="8" defaultColWidth="9.139196" defaultRowHeight="15"/>
  <cols>
    <col width="9.140625" customWidth="1" style="1" min="1" max="1"/>
    <col width="5.425781" bestFit="1" customWidth="1" style="1" min="2" max="2"/>
    <col width="29.855469" bestFit="1" customWidth="1" style="1" min="3" max="3"/>
    <col width="118" bestFit="1" customWidth="1" style="1" min="4" max="4"/>
    <col width="3.710938" bestFit="1" customWidth="1" style="1" min="5" max="5"/>
    <col width="4.710938" bestFit="1" customWidth="1" style="1" min="6" max="6"/>
    <col width="32.425781" bestFit="1" customWidth="1" min="7" max="7"/>
    <col width="37.710938" bestFit="1" customWidth="1" min="8" max="8"/>
    <col width="15.855469" bestFit="1" customWidth="1" style="1" min="9" max="9"/>
    <col width="23" bestFit="1" customWidth="1" style="1" min="10" max="10"/>
    <col width="18.425781" bestFit="1" customWidth="1" style="1" min="11" max="11"/>
    <col width="22" bestFit="1" customWidth="1" style="1" min="12" max="12"/>
    <col width="14.425781" bestFit="1" customWidth="1" style="1" min="13" max="13"/>
    <col width="15.570312" bestFit="1" customWidth="1" style="1" min="14" max="14"/>
    <col width="15.855469" bestFit="1" customWidth="1" style="1" min="15" max="15"/>
    <col width="12.285156" bestFit="1" customWidth="1" style="1" min="16" max="16"/>
    <col width="21.570312" bestFit="1" customWidth="1" style="1" min="17" max="17"/>
    <col width="19.140625" bestFit="1" customWidth="1" style="1" min="18" max="18"/>
    <col width="15" bestFit="1" customWidth="1" style="1" min="19" max="19"/>
    <col width="19.710938" bestFit="1" customWidth="1" style="1" min="20" max="20"/>
    <col width="24.140625" bestFit="1" customWidth="1" style="1" min="21" max="21"/>
    <col width="16.710938" bestFit="1" customWidth="1" style="1" min="22" max="22"/>
    <col width="24.140625" bestFit="1" customWidth="1" style="1" min="23" max="23"/>
    <col width="19.425781" bestFit="1" customWidth="1" style="1" min="24" max="24"/>
    <col width="9.855468999999999" bestFit="1" customWidth="1" style="1" min="25" max="25"/>
    <col width="60.425781" bestFit="1" customWidth="1" style="1" min="26" max="26"/>
    <col width="16.570312" bestFit="1" customWidth="1" style="1" min="27" max="27"/>
    <col width="8.570311999999999" bestFit="1" customWidth="1" style="1" min="28" max="28"/>
    <col width="13.285156" bestFit="1" customWidth="1" style="1" min="29" max="29"/>
    <col width="7.570312" bestFit="1" customWidth="1" style="1" min="30" max="30"/>
    <col width="11.425781" bestFit="1" customWidth="1" style="1" min="31" max="31"/>
    <col width="5.285156" bestFit="1" customWidth="1" style="1" min="32" max="33"/>
    <col width="35.570312" bestFit="1" customWidth="1" min="34" max="34"/>
    <col width="19" bestFit="1" customWidth="1" min="35" max="35"/>
    <col width="10" bestFit="1" customWidth="1" min="36" max="36"/>
    <col width="13.285156" bestFit="1" customWidth="1" style="1" min="37" max="37"/>
    <col width="9.710938000000001" bestFit="1" customWidth="1" style="1" min="38" max="38"/>
    <col width="20.425781" bestFit="1" customWidth="1" style="1" min="39" max="39"/>
    <col width="20.425781" bestFit="1" customWidth="1" min="40" max="40"/>
    <col width="22.425781" bestFit="1" customWidth="1" style="1" min="41" max="41"/>
    <col width="12.425781" bestFit="1" customWidth="1" min="42" max="42"/>
    <col width="26.855469" bestFit="1" customWidth="1" min="43" max="43"/>
    <col width="11.425781" bestFit="1" customWidth="1" min="44" max="44"/>
    <col width="6.425781" bestFit="1" customWidth="1" style="1" min="45" max="45"/>
    <col width="7" bestFit="1" customWidth="1" style="1" min="46" max="46"/>
    <col width="11.140625" bestFit="1" customWidth="1" style="1" min="47" max="47"/>
    <col width="14.285156" bestFit="1" customWidth="1" min="48" max="48"/>
    <col width="22.710938" bestFit="1" customWidth="1" min="49" max="49"/>
    <col width="9.140625" customWidth="1" min="50" max="65"/>
  </cols>
  <sheetData>
    <row r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DN</t>
        </is>
      </c>
      <c r="F1" s="1" t="inlineStr">
        <is>
          <t>DN2</t>
        </is>
      </c>
      <c r="G1" t="inlineStr">
        <is>
          <t>ContentGeometryParamDefinition</t>
        </is>
      </c>
      <c r="H1" t="inlineStr">
        <is>
          <t>SizeRecordId_S1</t>
        </is>
      </c>
      <c r="I1" s="77" t="inlineStr">
        <is>
          <t>PortName_S1</t>
        </is>
      </c>
      <c r="J1" s="1" t="inlineStr">
        <is>
          <t>NominalDiameter_S1</t>
        </is>
      </c>
      <c r="K1" s="1" t="inlineStr">
        <is>
          <t>NominalUnit_S1</t>
        </is>
      </c>
      <c r="L1" s="1" t="inlineStr">
        <is>
          <t>MatchingPipeOd_S1</t>
        </is>
      </c>
      <c r="M1" s="1" t="inlineStr">
        <is>
          <t>EndType_S1</t>
        </is>
      </c>
      <c r="N1" s="1" t="inlineStr">
        <is>
          <t>FlangeStd_S1</t>
        </is>
      </c>
      <c r="O1" s="1" t="inlineStr">
        <is>
          <t>GasketStd_S1</t>
        </is>
      </c>
      <c r="P1" s="1" t="inlineStr">
        <is>
          <t>Facing_S1</t>
        </is>
      </c>
      <c r="Q1" s="1" t="inlineStr">
        <is>
          <t>FlangeThickness_S1</t>
        </is>
      </c>
      <c r="R1" s="1" t="inlineStr">
        <is>
          <t>PressureClass_S1</t>
        </is>
      </c>
      <c r="S1" s="1" t="inlineStr">
        <is>
          <t>Schedule_S1</t>
        </is>
      </c>
      <c r="T1" s="1" t="inlineStr">
        <is>
          <t>WallThickness_S1</t>
        </is>
      </c>
      <c r="U1" s="1" t="inlineStr">
        <is>
          <t>EngagementLength_S1</t>
        </is>
      </c>
      <c r="V1" s="1" t="inlineStr">
        <is>
          <t>LengthUnit_S1</t>
        </is>
      </c>
      <c r="W1" t="inlineStr">
        <is>
          <t>SizeRecordId_S2</t>
        </is>
      </c>
      <c r="X1" t="inlineStr">
        <is>
          <t>PortName_S2</t>
        </is>
      </c>
      <c r="Y1" t="inlineStr">
        <is>
          <t>NominalDiameter_S2</t>
        </is>
      </c>
      <c r="Z1" t="inlineStr">
        <is>
          <t>NominalUnit_S2</t>
        </is>
      </c>
      <c r="AA1" t="inlineStr">
        <is>
          <t>MatchingPipeOd_S2</t>
        </is>
      </c>
      <c r="AB1" t="inlineStr">
        <is>
          <t>EndType_S2</t>
        </is>
      </c>
      <c r="AC1" t="inlineStr">
        <is>
          <t>FlangeStd_S2</t>
        </is>
      </c>
      <c r="AD1" t="inlineStr">
        <is>
          <t>GasketStd_S2</t>
        </is>
      </c>
      <c r="AE1" t="inlineStr">
        <is>
          <t>Facing_S2</t>
        </is>
      </c>
      <c r="AF1" t="inlineStr">
        <is>
          <t>FlangeThickness_S2</t>
        </is>
      </c>
      <c r="AG1" t="inlineStr">
        <is>
          <t>PressureClass_S2</t>
        </is>
      </c>
      <c r="AH1" t="inlineStr">
        <is>
          <t>Schedule_S2</t>
        </is>
      </c>
      <c r="AI1" t="inlineStr">
        <is>
          <t>WallThickness_S2</t>
        </is>
      </c>
      <c r="AJ1" t="inlineStr">
        <is>
          <t>EngagementLength_S2</t>
        </is>
      </c>
      <c r="AK1" t="inlineStr">
        <is>
          <t>LengthUnit_S2</t>
        </is>
      </c>
      <c r="AL1" s="1" t="inlineStr">
        <is>
          <t>ShortDescription</t>
        </is>
      </c>
      <c r="AM1" s="1" t="inlineStr">
        <is>
          <t>CompatibleStandard</t>
        </is>
      </c>
      <c r="AN1" s="1" t="inlineStr">
        <is>
          <t>DesignStd</t>
        </is>
      </c>
      <c r="AO1" s="1" t="inlineStr">
        <is>
          <t>PartFamilyLongDesc</t>
        </is>
      </c>
      <c r="AP1" s="1" t="inlineStr">
        <is>
          <t>PartSizeLongDesc</t>
        </is>
      </c>
      <c r="AQ1" s="1" t="inlineStr">
        <is>
          <t>Material</t>
        </is>
      </c>
      <c r="AR1" s="1" t="inlineStr">
        <is>
          <t>MaterialCode</t>
        </is>
      </c>
      <c r="AS1" s="1" t="inlineStr">
        <is>
          <t>Weight</t>
        </is>
      </c>
      <c r="AT1" s="1" t="inlineStr">
        <is>
          <t>WeightUnit</t>
        </is>
      </c>
      <c r="AU1" s="1" t="inlineStr">
        <is>
          <t>SKEY</t>
        </is>
      </c>
      <c r="AV1" s="1" t="inlineStr">
        <is>
          <t>TYPE</t>
        </is>
      </c>
      <c r="AW1" t="inlineStr">
        <is>
          <t>PartFamilyId</t>
        </is>
      </c>
      <c r="AX1" t="inlineStr">
        <is>
          <t>CatalogPartFamilyId</t>
        </is>
      </c>
      <c r="AY1" t="inlineStr">
        <is>
          <t>PartStatus</t>
        </is>
      </c>
      <c r="AZ1" s="1" t="inlineStr">
        <is>
          <t>Manufacturer</t>
        </is>
      </c>
      <c r="BA1" s="1" t="inlineStr">
        <is>
          <t>ItemCode</t>
        </is>
      </c>
      <c r="BB1" s="1" t="inlineStr">
        <is>
          <t>DesignPressureFactor</t>
        </is>
      </c>
      <c r="BC1" t="inlineStr">
        <is>
          <t>ConnectionPortCount</t>
        </is>
      </c>
      <c r="BD1" s="1" t="inlineStr">
        <is>
          <t>ComponentDesignation</t>
        </is>
      </c>
      <c r="BE1" t="inlineStr">
        <is>
          <t>PartCategory</t>
        </is>
      </c>
      <c r="BF1" t="inlineStr">
        <is>
          <t>ContentIsoSymbolDefinition</t>
        </is>
      </c>
      <c r="BG1" t="inlineStr">
        <is>
          <t>PartVersion</t>
        </is>
      </c>
      <c r="BH1" s="1" t="inlineStr">
        <is>
          <t>Status</t>
        </is>
      </c>
      <c r="BI1" s="1" t="inlineStr">
        <is>
          <t>Length</t>
        </is>
      </c>
      <c r="BJ1" s="1" t="inlineStr">
        <is>
          <t>Eccentricity</t>
        </is>
      </c>
      <c r="BK1" t="inlineStr">
        <is>
          <t>PnPClassName</t>
        </is>
      </c>
      <c r="BL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DN</t>
        </is>
      </c>
      <c r="F2" s="2" t="inlineStr">
        <is>
          <t>DN2</t>
        </is>
      </c>
      <c r="G2" s="2" t="inlineStr">
        <is>
          <t>ContentGeometryParamDefinition</t>
        </is>
      </c>
      <c r="H2" s="2" t="inlineStr">
        <is>
          <t>SizeRecordId_S1</t>
        </is>
      </c>
      <c r="I2" s="78" t="inlineStr">
        <is>
          <t>PortName_S1</t>
        </is>
      </c>
      <c r="J2" s="2" t="inlineStr">
        <is>
          <t>NominalDiameter_S1</t>
        </is>
      </c>
      <c r="K2" s="2" t="inlineStr">
        <is>
          <t>NominalUnit_S1</t>
        </is>
      </c>
      <c r="L2" s="2" t="inlineStr">
        <is>
          <t>MatchingPipeOd_S1</t>
        </is>
      </c>
      <c r="M2" s="2" t="inlineStr">
        <is>
          <t>EndType_S1</t>
        </is>
      </c>
      <c r="N2" s="2" t="inlineStr">
        <is>
          <t>FlangeStd_S1</t>
        </is>
      </c>
      <c r="O2" s="2" t="inlineStr">
        <is>
          <t>GasketStd_S1</t>
        </is>
      </c>
      <c r="P2" s="2" t="inlineStr">
        <is>
          <t>Facing_S1</t>
        </is>
      </c>
      <c r="Q2" s="2" t="inlineStr">
        <is>
          <t>FlangeThickness_S1</t>
        </is>
      </c>
      <c r="R2" s="2" t="inlineStr">
        <is>
          <t>PressureClass_S1</t>
        </is>
      </c>
      <c r="S2" s="2" t="inlineStr">
        <is>
          <t>Schedule_S1</t>
        </is>
      </c>
      <c r="T2" s="2" t="inlineStr">
        <is>
          <t>WallThickness_S1</t>
        </is>
      </c>
      <c r="U2" s="2" t="inlineStr">
        <is>
          <t>EngagementLength_S1</t>
        </is>
      </c>
      <c r="V2" s="2" t="inlineStr">
        <is>
          <t>LengthUnit_S1</t>
        </is>
      </c>
      <c r="W2" t="inlineStr">
        <is>
          <t>SizeRecordId_S2</t>
        </is>
      </c>
      <c r="X2" t="inlineStr">
        <is>
          <t>PortName_S2</t>
        </is>
      </c>
      <c r="Y2" t="inlineStr">
        <is>
          <t>NominalDiameter_S2</t>
        </is>
      </c>
      <c r="Z2" t="inlineStr">
        <is>
          <t>NominalUnit_S2</t>
        </is>
      </c>
      <c r="AA2" t="inlineStr">
        <is>
          <t>MatchingPipeOd_S2</t>
        </is>
      </c>
      <c r="AB2" t="inlineStr">
        <is>
          <t>EndType_S2</t>
        </is>
      </c>
      <c r="AC2" t="inlineStr">
        <is>
          <t>FlangeStd_S2</t>
        </is>
      </c>
      <c r="AD2" t="inlineStr">
        <is>
          <t>GasketStd_S2</t>
        </is>
      </c>
      <c r="AE2" t="inlineStr">
        <is>
          <t>Facing_S2</t>
        </is>
      </c>
      <c r="AF2" t="inlineStr">
        <is>
          <t>FlangeThickness_S2</t>
        </is>
      </c>
      <c r="AG2" t="inlineStr">
        <is>
          <t>PressureClass_S2</t>
        </is>
      </c>
      <c r="AH2" t="inlineStr">
        <is>
          <t>Schedule_S2</t>
        </is>
      </c>
      <c r="AI2" t="inlineStr">
        <is>
          <t>WallThickness_S2</t>
        </is>
      </c>
      <c r="AJ2" t="inlineStr">
        <is>
          <t>EngagementLength_S2</t>
        </is>
      </c>
      <c r="AK2" t="inlineStr">
        <is>
          <t>LengthUnit_S2</t>
        </is>
      </c>
      <c r="AL2" s="2" t="inlineStr">
        <is>
          <t>ShortDescription</t>
        </is>
      </c>
      <c r="AM2" s="2" t="inlineStr">
        <is>
          <t>CompatibleStandard</t>
        </is>
      </c>
      <c r="AN2" s="2" t="inlineStr">
        <is>
          <t>DesignStd</t>
        </is>
      </c>
      <c r="AO2" s="2" t="inlineStr">
        <is>
          <t>PartFamilyLongDesc</t>
        </is>
      </c>
      <c r="AP2" s="2" t="inlineStr">
        <is>
          <t>PartSizeLongDesc</t>
        </is>
      </c>
      <c r="AQ2" s="2" t="inlineStr">
        <is>
          <t>Material</t>
        </is>
      </c>
      <c r="AR2" s="2" t="inlineStr">
        <is>
          <t>MaterialCode</t>
        </is>
      </c>
      <c r="AS2" s="2" t="inlineStr">
        <is>
          <t>Weight</t>
        </is>
      </c>
      <c r="AT2" s="2" t="inlineStr">
        <is>
          <t>WeightUnit</t>
        </is>
      </c>
      <c r="AU2" s="2" t="inlineStr">
        <is>
          <t>SKEY</t>
        </is>
      </c>
      <c r="AV2" s="2" t="inlineStr">
        <is>
          <t>TYPE</t>
        </is>
      </c>
      <c r="AW2" s="2" t="inlineStr">
        <is>
          <t>PartFamilyId</t>
        </is>
      </c>
      <c r="AX2" s="2" t="inlineStr">
        <is>
          <t>CatalogPartFamilyId</t>
        </is>
      </c>
      <c r="AY2" s="2" t="inlineStr">
        <is>
          <t>PartStatus</t>
        </is>
      </c>
      <c r="AZ2" s="2" t="inlineStr">
        <is>
          <t>Manufacturer</t>
        </is>
      </c>
      <c r="BA2" s="2" t="inlineStr">
        <is>
          <t>ItemCode</t>
        </is>
      </c>
      <c r="BB2" s="2" t="inlineStr">
        <is>
          <t>DesignPressureFactor</t>
        </is>
      </c>
      <c r="BC2" s="2" t="inlineStr">
        <is>
          <t>ConnectionPortCount</t>
        </is>
      </c>
      <c r="BD2" s="2" t="inlineStr">
        <is>
          <t>ComponentDesignation</t>
        </is>
      </c>
      <c r="BE2" s="2" t="inlineStr">
        <is>
          <t>PartCategory</t>
        </is>
      </c>
      <c r="BF2" s="2" t="inlineStr">
        <is>
          <t>ContentIsoSymbolDefinition</t>
        </is>
      </c>
      <c r="BG2" s="2" t="inlineStr">
        <is>
          <t>PartVersion</t>
        </is>
      </c>
      <c r="BH2" s="2" t="inlineStr">
        <is>
          <t>Status</t>
        </is>
      </c>
      <c r="BI2" s="2" t="inlineStr">
        <is>
          <t>Length</t>
        </is>
      </c>
      <c r="BJ2" s="2" t="inlineStr">
        <is>
          <t>Eccentricity</t>
        </is>
      </c>
      <c r="BK2" s="2" t="inlineStr">
        <is>
          <t>PnPClassName</t>
        </is>
      </c>
      <c r="BL2" s="2" t="inlineStr">
        <is>
          <t>ExcelFormatVersion_2.0</t>
        </is>
      </c>
    </row>
    <row r="3">
      <c r="A3" s="1" t="n"/>
      <c r="B3" s="1" t="n"/>
      <c r="C3" s="1" t="n"/>
      <c r="D3" s="1" t="n"/>
      <c r="E3" s="1" t="n"/>
      <c r="F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K3" s="1" t="n"/>
      <c r="AL3" s="1" t="n"/>
      <c r="AM3" s="1" t="n"/>
      <c r="AO3" s="1" t="n"/>
      <c r="AS3" s="1" t="n"/>
      <c r="AT3" s="1" t="n"/>
      <c r="AU3" s="1" t="n"/>
    </row>
    <row r="4">
      <c r="A4" s="1" t="n"/>
      <c r="B4" s="1" t="n"/>
      <c r="C4" s="1" t="n"/>
      <c r="D4" s="1" t="n"/>
      <c r="E4" s="1" t="n"/>
      <c r="F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K4" s="1" t="n"/>
      <c r="AL4" s="1" t="n"/>
      <c r="AM4" s="1" t="n"/>
      <c r="AO4" s="1" t="n"/>
      <c r="AS4" s="1" t="n"/>
      <c r="AT4" s="1" t="n"/>
      <c r="AU4" s="1" t="n"/>
    </row>
    <row r="5">
      <c r="A5" s="1" t="n"/>
      <c r="B5" s="1" t="n"/>
      <c r="C5" s="1" t="n"/>
      <c r="D5" s="1" t="n"/>
      <c r="E5" s="1" t="n"/>
      <c r="F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K5" s="1" t="n"/>
      <c r="AL5" s="1" t="n"/>
      <c r="AM5" s="1" t="n"/>
      <c r="AO5" s="1" t="n"/>
      <c r="AS5" s="1" t="n"/>
      <c r="AT5" s="1" t="n"/>
      <c r="AU5" s="1" t="n"/>
    </row>
  </sheetData>
  <dataValidations count="2">
    <dataValidation sqref="AE3:AE20" showDropDown="0" showInputMessage="1" showErrorMessage="1" allowBlank="1" errorTitle="" error="" promptTitle="" prompt="" type="list" errorStyle="stop" operator="between">
      <formula1>"LB,KG"</formula1>
    </dataValidation>
    <dataValidation sqref="J3:J20 L3:L20 Q3:Q20 T3:U20 AD3:AD20 AJ3:AJ20 AN3:AN20 AT3:AT20" showDropDown="0" showInputMessage="1" showErrorMessage="1" allowBlank="1" errorTitle="" error="" promptTitle="" prompt="" type="decimal" errorStyle="stop" operator="between">
      <formula1>-5</formula1>
      <formula2>100000</formula2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5"/>
  <sheetViews>
    <sheetView topLeftCell="A2" workbookViewId="0">
      <selection activeCell="P30" sqref="P30"/>
    </sheetView>
  </sheetViews>
  <sheetFormatPr baseColWidth="8" defaultColWidth="9.139196" defaultRowHeight="15"/>
  <cols>
    <col width="9.140625" customWidth="1" style="1" min="1" max="6"/>
    <col hidden="1" width="9.140625" customWidth="1" min="7" max="8"/>
    <col width="9.140625" customWidth="1" style="1" min="9" max="33"/>
    <col hidden="1" width="9.140625" customWidth="1" min="34" max="36"/>
    <col width="9.140625" customWidth="1" style="1" min="37" max="39"/>
    <col hidden="1" width="9.140625" customWidth="1" min="40" max="40"/>
    <col width="9.140625" customWidth="1" style="1" min="41" max="41"/>
    <col hidden="1" width="9.140625" customWidth="1" min="42" max="44"/>
    <col width="9.140625" customWidth="1" style="1" min="45" max="47"/>
    <col hidden="1" width="9.140625" customWidth="1" min="48" max="49"/>
    <col width="9.140625" customWidth="1" min="50" max="65"/>
  </cols>
  <sheetData>
    <row r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DN</t>
        </is>
      </c>
      <c r="F1" s="1" t="inlineStr">
        <is>
          <t>DN2</t>
        </is>
      </c>
      <c r="G1" t="inlineStr">
        <is>
          <t>ContentGeometryParamDefinition</t>
        </is>
      </c>
      <c r="H1" t="inlineStr">
        <is>
          <t>SizeRecordId_S1</t>
        </is>
      </c>
      <c r="I1" s="77" t="inlineStr">
        <is>
          <t>PortName_S1</t>
        </is>
      </c>
      <c r="J1" s="1" t="inlineStr">
        <is>
          <t>NominalDiameter_S1</t>
        </is>
      </c>
      <c r="K1" s="1" t="inlineStr">
        <is>
          <t>NominalUnit_S1</t>
        </is>
      </c>
      <c r="L1" s="1" t="inlineStr">
        <is>
          <t>MatchingPipeOd_S1</t>
        </is>
      </c>
      <c r="M1" s="1" t="inlineStr">
        <is>
          <t>EndType_S1</t>
        </is>
      </c>
      <c r="N1" s="1" t="inlineStr">
        <is>
          <t>FlangeStd_S1</t>
        </is>
      </c>
      <c r="O1" s="1" t="inlineStr">
        <is>
          <t>GasketStd_S1</t>
        </is>
      </c>
      <c r="P1" s="1" t="inlineStr">
        <is>
          <t>Facing_S1</t>
        </is>
      </c>
      <c r="Q1" s="1" t="inlineStr">
        <is>
          <t>FlangeThickness_S1</t>
        </is>
      </c>
      <c r="R1" s="1" t="inlineStr">
        <is>
          <t>PressureClass_S1</t>
        </is>
      </c>
      <c r="S1" s="1" t="inlineStr">
        <is>
          <t>Schedule_S1</t>
        </is>
      </c>
      <c r="T1" s="1" t="inlineStr">
        <is>
          <t>WallThickness_S1</t>
        </is>
      </c>
      <c r="U1" s="1" t="inlineStr">
        <is>
          <t>EngagementLength_S1</t>
        </is>
      </c>
      <c r="V1" s="1" t="inlineStr">
        <is>
          <t>LengthUnit_S1</t>
        </is>
      </c>
      <c r="W1" t="inlineStr">
        <is>
          <t>SizeRecordId_S2</t>
        </is>
      </c>
      <c r="X1" t="inlineStr">
        <is>
          <t>PortName_S2</t>
        </is>
      </c>
      <c r="Y1" t="inlineStr">
        <is>
          <t>NominalDiameter_S2</t>
        </is>
      </c>
      <c r="Z1" t="inlineStr">
        <is>
          <t>NominalUnit_S2</t>
        </is>
      </c>
      <c r="AA1" t="inlineStr">
        <is>
          <t>MatchingPipeOd_S2</t>
        </is>
      </c>
      <c r="AB1" t="inlineStr">
        <is>
          <t>EndType_S2</t>
        </is>
      </c>
      <c r="AC1" t="inlineStr">
        <is>
          <t>FlangeStd_S2</t>
        </is>
      </c>
      <c r="AD1" t="inlineStr">
        <is>
          <t>GasketStd_S2</t>
        </is>
      </c>
      <c r="AE1" t="inlineStr">
        <is>
          <t>Facing_S2</t>
        </is>
      </c>
      <c r="AF1" t="inlineStr">
        <is>
          <t>FlangeThickness_S2</t>
        </is>
      </c>
      <c r="AG1" t="inlineStr">
        <is>
          <t>PressureClass_S2</t>
        </is>
      </c>
      <c r="AH1" t="inlineStr">
        <is>
          <t>Schedule_S2</t>
        </is>
      </c>
      <c r="AI1" t="inlineStr">
        <is>
          <t>WallThickness_S2</t>
        </is>
      </c>
      <c r="AJ1" t="inlineStr">
        <is>
          <t>EngagementLength_S2</t>
        </is>
      </c>
      <c r="AK1" t="inlineStr">
        <is>
          <t>LengthUnit_S2</t>
        </is>
      </c>
      <c r="AL1" s="1" t="inlineStr">
        <is>
          <t>ShortDescription</t>
        </is>
      </c>
      <c r="AM1" s="1" t="inlineStr">
        <is>
          <t>CompatibleStandard</t>
        </is>
      </c>
      <c r="AN1" s="1" t="inlineStr">
        <is>
          <t>DesignStd</t>
        </is>
      </c>
      <c r="AO1" s="1" t="inlineStr">
        <is>
          <t>PartFamilyLongDesc</t>
        </is>
      </c>
      <c r="AP1" s="1" t="inlineStr">
        <is>
          <t>PartSizeLongDesc</t>
        </is>
      </c>
      <c r="AQ1" s="1" t="inlineStr">
        <is>
          <t>Material</t>
        </is>
      </c>
      <c r="AR1" s="1" t="inlineStr">
        <is>
          <t>MaterialCode</t>
        </is>
      </c>
      <c r="AS1" s="1" t="inlineStr">
        <is>
          <t>Weight</t>
        </is>
      </c>
      <c r="AT1" s="1" t="inlineStr">
        <is>
          <t>WeightUnit</t>
        </is>
      </c>
      <c r="AU1" s="1" t="inlineStr">
        <is>
          <t>SKEY</t>
        </is>
      </c>
      <c r="AV1" s="1" t="inlineStr">
        <is>
          <t>TYPE</t>
        </is>
      </c>
      <c r="AW1" t="inlineStr">
        <is>
          <t>PartFamilyId</t>
        </is>
      </c>
      <c r="AX1" t="inlineStr">
        <is>
          <t>CatalogPartFamilyId</t>
        </is>
      </c>
      <c r="AY1" t="inlineStr">
        <is>
          <t>PartStatus</t>
        </is>
      </c>
      <c r="AZ1" s="1" t="inlineStr">
        <is>
          <t>Manufacturer</t>
        </is>
      </c>
      <c r="BA1" s="1" t="inlineStr">
        <is>
          <t>ItemCode</t>
        </is>
      </c>
      <c r="BB1" s="1" t="inlineStr">
        <is>
          <t>DesignPressureFactor</t>
        </is>
      </c>
      <c r="BC1" t="inlineStr">
        <is>
          <t>ConnectionPortCount</t>
        </is>
      </c>
      <c r="BD1" s="1" t="inlineStr">
        <is>
          <t>ComponentDesignation</t>
        </is>
      </c>
      <c r="BE1" t="inlineStr">
        <is>
          <t>PartCategory</t>
        </is>
      </c>
      <c r="BF1" t="inlineStr">
        <is>
          <t>ContentIsoSymbolDefinition</t>
        </is>
      </c>
      <c r="BG1" t="inlineStr">
        <is>
          <t>PartVersion</t>
        </is>
      </c>
      <c r="BH1" s="1" t="inlineStr">
        <is>
          <t>Status</t>
        </is>
      </c>
      <c r="BI1" s="1" t="inlineStr">
        <is>
          <t>Length</t>
        </is>
      </c>
      <c r="BJ1" s="1" t="inlineStr">
        <is>
          <t>Eccentricity</t>
        </is>
      </c>
      <c r="BK1" t="inlineStr">
        <is>
          <t>PnPClassName</t>
        </is>
      </c>
      <c r="BL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DN</t>
        </is>
      </c>
      <c r="F2" s="2" t="inlineStr">
        <is>
          <t>DN2</t>
        </is>
      </c>
      <c r="G2" s="2" t="inlineStr">
        <is>
          <t>ContentGeometryParamDefinition</t>
        </is>
      </c>
      <c r="H2" s="2" t="inlineStr">
        <is>
          <t>SizeRecordId_S1</t>
        </is>
      </c>
      <c r="I2" s="78" t="inlineStr">
        <is>
          <t>PortName_S1</t>
        </is>
      </c>
      <c r="J2" s="2" t="inlineStr">
        <is>
          <t>NominalDiameter_S1</t>
        </is>
      </c>
      <c r="K2" s="2" t="inlineStr">
        <is>
          <t>NominalUnit_S1</t>
        </is>
      </c>
      <c r="L2" s="2" t="inlineStr">
        <is>
          <t>MatchingPipeOd_S1</t>
        </is>
      </c>
      <c r="M2" s="2" t="inlineStr">
        <is>
          <t>EndType_S1</t>
        </is>
      </c>
      <c r="N2" s="2" t="inlineStr">
        <is>
          <t>FlangeStd_S1</t>
        </is>
      </c>
      <c r="O2" s="2" t="inlineStr">
        <is>
          <t>GasketStd_S1</t>
        </is>
      </c>
      <c r="P2" s="2" t="inlineStr">
        <is>
          <t>Facing_S1</t>
        </is>
      </c>
      <c r="Q2" s="2" t="inlineStr">
        <is>
          <t>FlangeThickness_S1</t>
        </is>
      </c>
      <c r="R2" s="2" t="inlineStr">
        <is>
          <t>PressureClass_S1</t>
        </is>
      </c>
      <c r="S2" s="2" t="inlineStr">
        <is>
          <t>Schedule_S1</t>
        </is>
      </c>
      <c r="T2" s="2" t="inlineStr">
        <is>
          <t>WallThickness_S1</t>
        </is>
      </c>
      <c r="U2" s="2" t="inlineStr">
        <is>
          <t>EngagementLength_S1</t>
        </is>
      </c>
      <c r="V2" s="2" t="inlineStr">
        <is>
          <t>LengthUnit_S1</t>
        </is>
      </c>
      <c r="W2" t="inlineStr">
        <is>
          <t>SizeRecordId_S2</t>
        </is>
      </c>
      <c r="X2" t="inlineStr">
        <is>
          <t>PortName_S2</t>
        </is>
      </c>
      <c r="Y2" t="inlineStr">
        <is>
          <t>NominalDiameter_S2</t>
        </is>
      </c>
      <c r="Z2" t="inlineStr">
        <is>
          <t>NominalUnit_S2</t>
        </is>
      </c>
      <c r="AA2" t="inlineStr">
        <is>
          <t>MatchingPipeOd_S2</t>
        </is>
      </c>
      <c r="AB2" t="inlineStr">
        <is>
          <t>EndType_S2</t>
        </is>
      </c>
      <c r="AC2" t="inlineStr">
        <is>
          <t>FlangeStd_S2</t>
        </is>
      </c>
      <c r="AD2" t="inlineStr">
        <is>
          <t>GasketStd_S2</t>
        </is>
      </c>
      <c r="AE2" t="inlineStr">
        <is>
          <t>Facing_S2</t>
        </is>
      </c>
      <c r="AF2" t="inlineStr">
        <is>
          <t>FlangeThickness_S2</t>
        </is>
      </c>
      <c r="AG2" t="inlineStr">
        <is>
          <t>PressureClass_S2</t>
        </is>
      </c>
      <c r="AH2" t="inlineStr">
        <is>
          <t>Schedule_S2</t>
        </is>
      </c>
      <c r="AI2" t="inlineStr">
        <is>
          <t>WallThickness_S2</t>
        </is>
      </c>
      <c r="AJ2" t="inlineStr">
        <is>
          <t>EngagementLength_S2</t>
        </is>
      </c>
      <c r="AK2" t="inlineStr">
        <is>
          <t>LengthUnit_S2</t>
        </is>
      </c>
      <c r="AL2" s="2" t="inlineStr">
        <is>
          <t>ShortDescription</t>
        </is>
      </c>
      <c r="AM2" s="2" t="inlineStr">
        <is>
          <t>CompatibleStandard</t>
        </is>
      </c>
      <c r="AN2" s="2" t="inlineStr">
        <is>
          <t>DesignStd</t>
        </is>
      </c>
      <c r="AO2" s="2" t="inlineStr">
        <is>
          <t>PartFamilyLongDesc</t>
        </is>
      </c>
      <c r="AP2" s="2" t="inlineStr">
        <is>
          <t>PartSizeLongDesc</t>
        </is>
      </c>
      <c r="AQ2" s="2" t="inlineStr">
        <is>
          <t>Material</t>
        </is>
      </c>
      <c r="AR2" s="2" t="inlineStr">
        <is>
          <t>MaterialCode</t>
        </is>
      </c>
      <c r="AS2" s="2" t="inlineStr">
        <is>
          <t>Weight</t>
        </is>
      </c>
      <c r="AT2" s="2" t="inlineStr">
        <is>
          <t>WeightUnit</t>
        </is>
      </c>
      <c r="AU2" s="2" t="inlineStr">
        <is>
          <t>SKEY</t>
        </is>
      </c>
      <c r="AV2" s="2" t="inlineStr">
        <is>
          <t>TYPE</t>
        </is>
      </c>
      <c r="AW2" s="2" t="inlineStr">
        <is>
          <t>PartFamilyId</t>
        </is>
      </c>
      <c r="AX2" s="2" t="inlineStr">
        <is>
          <t>CatalogPartFamilyId</t>
        </is>
      </c>
      <c r="AY2" s="2" t="inlineStr">
        <is>
          <t>PartStatus</t>
        </is>
      </c>
      <c r="AZ2" s="2" t="inlineStr">
        <is>
          <t>Manufacturer</t>
        </is>
      </c>
      <c r="BA2" s="2" t="inlineStr">
        <is>
          <t>ItemCode</t>
        </is>
      </c>
      <c r="BB2" s="2" t="inlineStr">
        <is>
          <t>DesignPressureFactor</t>
        </is>
      </c>
      <c r="BC2" s="2" t="inlineStr">
        <is>
          <t>ConnectionPortCount</t>
        </is>
      </c>
      <c r="BD2" s="2" t="inlineStr">
        <is>
          <t>ComponentDesignation</t>
        </is>
      </c>
      <c r="BE2" s="2" t="inlineStr">
        <is>
          <t>PartCategory</t>
        </is>
      </c>
      <c r="BF2" s="2" t="inlineStr">
        <is>
          <t>ContentIsoSymbolDefinition</t>
        </is>
      </c>
      <c r="BG2" s="2" t="inlineStr">
        <is>
          <t>PartVersion</t>
        </is>
      </c>
      <c r="BH2" s="2" t="inlineStr">
        <is>
          <t>Status</t>
        </is>
      </c>
      <c r="BI2" s="2" t="inlineStr">
        <is>
          <t>Length</t>
        </is>
      </c>
      <c r="BJ2" s="2" t="inlineStr">
        <is>
          <t>Eccentricity</t>
        </is>
      </c>
      <c r="BK2" s="2" t="inlineStr">
        <is>
          <t>PnPClassName</t>
        </is>
      </c>
      <c r="BL2" s="2" t="inlineStr">
        <is>
          <t>ExcelFormatVersion_2.0</t>
        </is>
      </c>
    </row>
    <row r="3">
      <c r="A3" s="1" t="n"/>
      <c r="B3" s="1" t="n"/>
      <c r="C3" s="1" t="n"/>
      <c r="D3" s="1" t="n"/>
      <c r="E3" s="1" t="n"/>
      <c r="F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K3" s="1" t="n"/>
      <c r="AL3" s="1" t="n"/>
      <c r="AM3" s="1" t="n"/>
      <c r="AO3" s="1" t="n"/>
      <c r="AS3" s="1" t="n"/>
      <c r="AT3" s="1" t="n"/>
      <c r="AU3" s="1" t="n"/>
    </row>
    <row r="4">
      <c r="A4" s="1" t="n"/>
      <c r="B4" s="1" t="n"/>
      <c r="C4" s="1" t="n"/>
      <c r="D4" s="1" t="n"/>
      <c r="E4" s="1" t="n"/>
      <c r="F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K4" s="1" t="n"/>
      <c r="AL4" s="1" t="n"/>
      <c r="AM4" s="1" t="n"/>
      <c r="AO4" s="1" t="n"/>
      <c r="AS4" s="1" t="n"/>
      <c r="AT4" s="1" t="n"/>
      <c r="AU4" s="1" t="n"/>
    </row>
    <row r="5">
      <c r="A5" s="1" t="n"/>
      <c r="B5" s="1" t="n"/>
      <c r="C5" s="1" t="n"/>
      <c r="D5" s="1" t="n"/>
      <c r="E5" s="1" t="n"/>
      <c r="F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K5" s="1" t="n"/>
      <c r="AL5" s="1" t="n"/>
      <c r="AM5" s="1" t="n"/>
      <c r="AO5" s="1" t="n"/>
      <c r="AS5" s="1" t="n"/>
      <c r="AT5" s="1" t="n"/>
      <c r="AU5" s="1" t="n"/>
    </row>
  </sheetData>
  <dataValidations count="2">
    <dataValidation sqref="AE3:AE20" showDropDown="0" showInputMessage="1" showErrorMessage="1" allowBlank="1" errorTitle="" error="" promptTitle="" prompt="" type="list" errorStyle="stop" operator="between">
      <formula1>"LB,KG"</formula1>
    </dataValidation>
    <dataValidation sqref="J3:J20 L3:L20 Q3:Q20 T3:U20 AD3:AD20 AJ3:AJ20 AN3:AN20 AT3:AT20" showDropDown="0" showInputMessage="1" showErrorMessage="1" allowBlank="1" errorTitle="" error="" promptTitle="" prompt="" type="decimal" errorStyle="stop" operator="between">
      <formula1>-5</formula1>
      <formula2>100000</formula2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5"/>
  <sheetViews>
    <sheetView tabSelected="1" topLeftCell="F2" workbookViewId="0">
      <selection activeCell="K32" sqref="K32"/>
    </sheetView>
  </sheetViews>
  <sheetFormatPr baseColWidth="8" defaultColWidth="9.139196" defaultRowHeight="15"/>
  <cols>
    <col width="9.140625" customWidth="1" style="1" min="1" max="1"/>
    <col width="5.425781" bestFit="1" customWidth="1" style="1" min="2" max="2"/>
    <col width="27.140625" bestFit="1" customWidth="1" style="1" min="3" max="3"/>
    <col width="115.285156" bestFit="1" customWidth="1" style="1" min="4" max="4"/>
    <col width="3.710938" bestFit="1" customWidth="1" style="1" min="5" max="5"/>
    <col width="32.425781" bestFit="1" customWidth="1" min="6" max="6"/>
    <col width="37.710938" bestFit="1" customWidth="1" min="7" max="7"/>
    <col width="15.855469" bestFit="1" customWidth="1" style="1" min="8" max="8"/>
    <col width="23" bestFit="1" customWidth="1" style="1" min="9" max="9"/>
    <col width="18.425781" bestFit="1" customWidth="1" style="1" min="10" max="10"/>
    <col width="22" bestFit="1" customWidth="1" style="1" min="11" max="11"/>
    <col width="14.425781" bestFit="1" customWidth="1" style="1" min="12" max="12"/>
    <col width="15.570312" bestFit="1" customWidth="1" style="1" min="13" max="13"/>
    <col width="15.855469" bestFit="1" customWidth="1" style="1" min="14" max="14"/>
    <col width="12.285156" bestFit="1" customWidth="1" style="1" min="15" max="15"/>
    <col width="21.570312" bestFit="1" customWidth="1" style="1" min="16" max="16"/>
    <col width="19.140625" bestFit="1" customWidth="1" style="1" min="17" max="17"/>
    <col width="15" bestFit="1" customWidth="1" style="1" min="18" max="18"/>
    <col width="19.710938" bestFit="1" customWidth="1" style="1" min="19" max="19"/>
    <col width="24.140625" bestFit="1" customWidth="1" style="1" min="20" max="20"/>
    <col width="16.710938" bestFit="1" customWidth="1" style="1" min="21" max="21"/>
    <col width="21.570312" bestFit="1" customWidth="1" style="1" min="22" max="22"/>
    <col width="19.425781" bestFit="1" customWidth="1" style="1" min="23" max="23"/>
    <col width="9.855468999999999" bestFit="1" customWidth="1" style="1" min="24" max="24"/>
    <col width="56.710938" bestFit="1" customWidth="1" style="1" min="25" max="25"/>
    <col width="62" bestFit="1" customWidth="1" style="1" min="26" max="26"/>
    <col width="8.570311999999999" bestFit="1" customWidth="1" style="1" min="27" max="27"/>
    <col width="13.285156" bestFit="1" customWidth="1" style="1" min="28" max="28"/>
    <col width="7.570312" bestFit="1" customWidth="1" style="1" min="29" max="29"/>
    <col width="11.425781" bestFit="1" customWidth="1" style="1" min="30" max="30"/>
    <col width="5.285156" bestFit="1" customWidth="1" style="1" min="31" max="32"/>
    <col width="37.710938" bestFit="1" customWidth="1" min="33" max="33"/>
    <col width="19" bestFit="1" customWidth="1" min="34" max="34"/>
    <col width="10" bestFit="1" customWidth="1" min="35" max="35"/>
    <col width="13.285156" bestFit="1" customWidth="1" style="1" min="36" max="36"/>
    <col width="9.710938000000001" bestFit="1" customWidth="1" style="1" min="37" max="37"/>
    <col width="20.425781" bestFit="1" customWidth="1" style="1" min="38" max="38"/>
    <col width="20.425781" bestFit="1" customWidth="1" min="39" max="39"/>
    <col width="22.425781" bestFit="1" customWidth="1" style="1" min="40" max="40"/>
    <col width="12.425781" bestFit="1" customWidth="1" min="41" max="41"/>
    <col width="26.855469" bestFit="1" customWidth="1" min="42" max="42"/>
    <col width="11.425781" bestFit="1" customWidth="1" min="43" max="43"/>
    <col width="6.425781" bestFit="1" customWidth="1" style="1" min="44" max="44"/>
    <col width="10.140625" bestFit="1" customWidth="1" style="1" min="45" max="45"/>
    <col width="12" bestFit="1" customWidth="1" style="1" min="46" max="46"/>
    <col width="14.285156" bestFit="1" customWidth="1" style="1" min="47" max="47"/>
    <col width="14.285156" bestFit="1" customWidth="1" min="48" max="48"/>
    <col width="22.710938" bestFit="1" customWidth="1" min="49" max="49"/>
    <col width="9.140625" customWidth="1" min="50" max="65"/>
  </cols>
  <sheetData>
    <row r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DN</t>
        </is>
      </c>
      <c r="F1" t="inlineStr">
        <is>
          <t>ContentGeometryParamDefinition</t>
        </is>
      </c>
      <c r="G1" t="inlineStr">
        <is>
          <t>SizeRecordId_S1</t>
        </is>
      </c>
      <c r="H1" s="77" t="inlineStr">
        <is>
          <t>PortName_S1</t>
        </is>
      </c>
      <c r="I1" s="1" t="inlineStr">
        <is>
          <t>NominalDiameter_S1</t>
        </is>
      </c>
      <c r="J1" s="1" t="inlineStr">
        <is>
          <t>NominalUnit_S1</t>
        </is>
      </c>
      <c r="K1" s="1" t="inlineStr">
        <is>
          <t>MatchingPipeOd_S1</t>
        </is>
      </c>
      <c r="L1" s="1" t="inlineStr">
        <is>
          <t>EndType_S1</t>
        </is>
      </c>
      <c r="M1" s="1" t="inlineStr">
        <is>
          <t>FlangeStd_S1</t>
        </is>
      </c>
      <c r="N1" s="1" t="inlineStr">
        <is>
          <t>GasketStd_S1</t>
        </is>
      </c>
      <c r="O1" s="1" t="inlineStr">
        <is>
          <t>Facing_S1</t>
        </is>
      </c>
      <c r="P1" s="1" t="inlineStr">
        <is>
          <t>FlangeThickness_S1</t>
        </is>
      </c>
      <c r="Q1" s="1" t="inlineStr">
        <is>
          <t>PressureClass_S1</t>
        </is>
      </c>
      <c r="R1" s="1" t="inlineStr">
        <is>
          <t>Schedule_S1</t>
        </is>
      </c>
      <c r="S1" s="1" t="inlineStr">
        <is>
          <t>WallThickness_S1</t>
        </is>
      </c>
      <c r="T1" s="1" t="inlineStr">
        <is>
          <t>EngagementLength_S1</t>
        </is>
      </c>
      <c r="U1" s="1" t="inlineStr">
        <is>
          <t>LengthUnit_S1</t>
        </is>
      </c>
      <c r="V1" t="inlineStr">
        <is>
          <t>SizeRecordId_S2</t>
        </is>
      </c>
      <c r="W1" t="inlineStr">
        <is>
          <t>PortName_S2</t>
        </is>
      </c>
      <c r="X1" t="inlineStr">
        <is>
          <t>NominalDiameter_S2</t>
        </is>
      </c>
      <c r="Y1" t="inlineStr">
        <is>
          <t>NominalUnit_S2</t>
        </is>
      </c>
      <c r="Z1" t="inlineStr">
        <is>
          <t>MatchingPipeOd_S2</t>
        </is>
      </c>
      <c r="AA1" t="inlineStr">
        <is>
          <t>EndType_S2</t>
        </is>
      </c>
      <c r="AB1" t="inlineStr">
        <is>
          <t>FlangeStd_S2</t>
        </is>
      </c>
      <c r="AC1" t="inlineStr">
        <is>
          <t>GasketStd_S2</t>
        </is>
      </c>
      <c r="AD1" t="inlineStr">
        <is>
          <t>Facing_S2</t>
        </is>
      </c>
      <c r="AE1" t="inlineStr">
        <is>
          <t>FlangeThickness_S2</t>
        </is>
      </c>
      <c r="AF1" t="inlineStr">
        <is>
          <t>PressureClass_S2</t>
        </is>
      </c>
      <c r="AG1" t="inlineStr">
        <is>
          <t>Schedule_S2</t>
        </is>
      </c>
      <c r="AH1" t="inlineStr">
        <is>
          <t>WallThickness_S2</t>
        </is>
      </c>
      <c r="AI1" t="inlineStr">
        <is>
          <t>EngagementLength_S2</t>
        </is>
      </c>
      <c r="AJ1" t="inlineStr">
        <is>
          <t>LengthUnit_S2</t>
        </is>
      </c>
      <c r="AK1" s="1" t="inlineStr">
        <is>
          <t>ShortDescription</t>
        </is>
      </c>
      <c r="AL1" s="1" t="inlineStr">
        <is>
          <t>CompatibleStandard</t>
        </is>
      </c>
      <c r="AM1" s="1" t="inlineStr">
        <is>
          <t>DesignStd</t>
        </is>
      </c>
      <c r="AN1" s="1" t="inlineStr">
        <is>
          <t>PartFamilyLongDesc</t>
        </is>
      </c>
      <c r="AO1" s="1" t="inlineStr">
        <is>
          <t>PartSizeLongDesc</t>
        </is>
      </c>
      <c r="AP1" s="1" t="inlineStr">
        <is>
          <t>Material</t>
        </is>
      </c>
      <c r="AQ1" s="1" t="inlineStr">
        <is>
          <t>MaterialCode</t>
        </is>
      </c>
      <c r="AR1" s="1" t="inlineStr">
        <is>
          <t>Weight</t>
        </is>
      </c>
      <c r="AS1" s="1" t="inlineStr">
        <is>
          <t>WeightUnit</t>
        </is>
      </c>
      <c r="AT1" s="1" t="inlineStr">
        <is>
          <t>SKEY</t>
        </is>
      </c>
      <c r="AU1" s="1" t="inlineStr">
        <is>
          <t>TYPE</t>
        </is>
      </c>
      <c r="AV1" t="inlineStr">
        <is>
          <t>PartFamilyId</t>
        </is>
      </c>
      <c r="AW1" t="inlineStr">
        <is>
          <t>CatalogPartFamilyId</t>
        </is>
      </c>
      <c r="AX1" t="inlineStr">
        <is>
          <t>PartStatus</t>
        </is>
      </c>
      <c r="AY1" s="1" t="inlineStr">
        <is>
          <t>Manufacturer</t>
        </is>
      </c>
      <c r="AZ1" s="1" t="inlineStr">
        <is>
          <t>ItemCode</t>
        </is>
      </c>
      <c r="BA1" s="1" t="inlineStr">
        <is>
          <t>DesignPressureFactor</t>
        </is>
      </c>
      <c r="BB1" t="inlineStr">
        <is>
          <t>ConnectionPortCount</t>
        </is>
      </c>
      <c r="BC1" s="1" t="inlineStr">
        <is>
          <t>ComponentDesignation</t>
        </is>
      </c>
      <c r="BD1" t="inlineStr">
        <is>
          <t>PartCategory</t>
        </is>
      </c>
      <c r="BE1" t="inlineStr">
        <is>
          <t>ContentIsoSymbolDefinition</t>
        </is>
      </c>
      <c r="BF1" t="inlineStr">
        <is>
          <t>PartVersion</t>
        </is>
      </c>
      <c r="BG1" s="1" t="inlineStr">
        <is>
          <t>Status</t>
        </is>
      </c>
      <c r="BH1" s="1" t="inlineStr">
        <is>
          <t>PathAngle</t>
        </is>
      </c>
      <c r="BI1" s="1" t="inlineStr">
        <is>
          <t>CurveRadius</t>
        </is>
      </c>
      <c r="BJ1" s="1" t="inlineStr">
        <is>
          <t>SegmentCount</t>
        </is>
      </c>
      <c r="BK1" t="inlineStr">
        <is>
          <t>PnPClassName</t>
        </is>
      </c>
      <c r="BL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DN</t>
        </is>
      </c>
      <c r="F2" s="2" t="inlineStr">
        <is>
          <t>ContentGeometryParamDefinition</t>
        </is>
      </c>
      <c r="G2" s="2" t="inlineStr">
        <is>
          <t>SizeRecordId_S1</t>
        </is>
      </c>
      <c r="H2" s="78" t="inlineStr">
        <is>
          <t>PortName_S1</t>
        </is>
      </c>
      <c r="I2" s="2" t="inlineStr">
        <is>
          <t>NominalDiameter_S1</t>
        </is>
      </c>
      <c r="J2" s="2" t="inlineStr">
        <is>
          <t>NominalUnit_S1</t>
        </is>
      </c>
      <c r="K2" s="2" t="inlineStr">
        <is>
          <t>MatchingPipeOd_S1</t>
        </is>
      </c>
      <c r="L2" s="2" t="inlineStr">
        <is>
          <t>EndType_S1</t>
        </is>
      </c>
      <c r="M2" s="2" t="inlineStr">
        <is>
          <t>FlangeStd_S1</t>
        </is>
      </c>
      <c r="N2" s="2" t="inlineStr">
        <is>
          <t>GasketStd_S1</t>
        </is>
      </c>
      <c r="O2" s="2" t="inlineStr">
        <is>
          <t>Facing_S1</t>
        </is>
      </c>
      <c r="P2" s="2" t="inlineStr">
        <is>
          <t>FlangeThickness_S1</t>
        </is>
      </c>
      <c r="Q2" s="2" t="inlineStr">
        <is>
          <t>PressureClass_S1</t>
        </is>
      </c>
      <c r="R2" s="2" t="inlineStr">
        <is>
          <t>Schedule_S1</t>
        </is>
      </c>
      <c r="S2" s="2" t="inlineStr">
        <is>
          <t>WallThickness_S1</t>
        </is>
      </c>
      <c r="T2" s="2" t="inlineStr">
        <is>
          <t>EngagementLength_S1</t>
        </is>
      </c>
      <c r="U2" s="2" t="inlineStr">
        <is>
          <t>LengthUnit_S1</t>
        </is>
      </c>
      <c r="V2" t="inlineStr">
        <is>
          <t>SizeRecordId_S2</t>
        </is>
      </c>
      <c r="W2" t="inlineStr">
        <is>
          <t>PortName_S2</t>
        </is>
      </c>
      <c r="X2" t="inlineStr">
        <is>
          <t>NominalDiameter_S2</t>
        </is>
      </c>
      <c r="Y2" t="inlineStr">
        <is>
          <t>NominalUnit_S2</t>
        </is>
      </c>
      <c r="Z2" t="inlineStr">
        <is>
          <t>MatchingPipeOd_S2</t>
        </is>
      </c>
      <c r="AA2" t="inlineStr">
        <is>
          <t>EndType_S2</t>
        </is>
      </c>
      <c r="AB2" t="inlineStr">
        <is>
          <t>FlangeStd_S2</t>
        </is>
      </c>
      <c r="AC2" t="inlineStr">
        <is>
          <t>GasketStd_S2</t>
        </is>
      </c>
      <c r="AD2" t="inlineStr">
        <is>
          <t>Facing_S2</t>
        </is>
      </c>
      <c r="AE2" t="inlineStr">
        <is>
          <t>FlangeThickness_S2</t>
        </is>
      </c>
      <c r="AF2" t="inlineStr">
        <is>
          <t>PressureClass_S2</t>
        </is>
      </c>
      <c r="AG2" t="inlineStr">
        <is>
          <t>Schedule_S2</t>
        </is>
      </c>
      <c r="AH2" t="inlineStr">
        <is>
          <t>WallThickness_S2</t>
        </is>
      </c>
      <c r="AI2" t="inlineStr">
        <is>
          <t>EngagementLength_S2</t>
        </is>
      </c>
      <c r="AJ2" t="inlineStr">
        <is>
          <t>LengthUnit_S2</t>
        </is>
      </c>
      <c r="AK2" s="2" t="inlineStr">
        <is>
          <t>ShortDescription</t>
        </is>
      </c>
      <c r="AL2" s="2" t="inlineStr">
        <is>
          <t>CompatibleStandard</t>
        </is>
      </c>
      <c r="AM2" s="2" t="inlineStr">
        <is>
          <t>DesignStd</t>
        </is>
      </c>
      <c r="AN2" s="2" t="inlineStr">
        <is>
          <t>PartFamilyLongDesc</t>
        </is>
      </c>
      <c r="AO2" s="2" t="inlineStr">
        <is>
          <t>PartSizeLongDesc</t>
        </is>
      </c>
      <c r="AP2" s="2" t="inlineStr">
        <is>
          <t>Material</t>
        </is>
      </c>
      <c r="AQ2" s="2" t="inlineStr">
        <is>
          <t>MaterialCode</t>
        </is>
      </c>
      <c r="AR2" s="2" t="inlineStr">
        <is>
          <t>Weight</t>
        </is>
      </c>
      <c r="AS2" s="2" t="inlineStr">
        <is>
          <t>WeightUnit</t>
        </is>
      </c>
      <c r="AT2" s="2" t="inlineStr">
        <is>
          <t>SKEY</t>
        </is>
      </c>
      <c r="AU2" s="2" t="inlineStr">
        <is>
          <t>TYPE</t>
        </is>
      </c>
      <c r="AV2" s="2" t="inlineStr">
        <is>
          <t>PartFamilyId</t>
        </is>
      </c>
      <c r="AW2" s="2" t="inlineStr">
        <is>
          <t>CatalogPartFamilyId</t>
        </is>
      </c>
      <c r="AX2" s="2" t="inlineStr">
        <is>
          <t>PartStatus</t>
        </is>
      </c>
      <c r="AY2" s="2" t="inlineStr">
        <is>
          <t>Manufacturer</t>
        </is>
      </c>
      <c r="AZ2" s="2" t="inlineStr">
        <is>
          <t>ItemCode</t>
        </is>
      </c>
      <c r="BA2" s="2" t="inlineStr">
        <is>
          <t>DesignPressureFactor</t>
        </is>
      </c>
      <c r="BB2" s="2" t="inlineStr">
        <is>
          <t>ConnectionPortCount</t>
        </is>
      </c>
      <c r="BC2" s="2" t="inlineStr">
        <is>
          <t>ComponentDesignation</t>
        </is>
      </c>
      <c r="BD2" s="2" t="inlineStr">
        <is>
          <t>PartCategory</t>
        </is>
      </c>
      <c r="BE2" s="2" t="inlineStr">
        <is>
          <t>ContentIsoSymbolDefinition</t>
        </is>
      </c>
      <c r="BF2" s="2" t="inlineStr">
        <is>
          <t>PartVersion</t>
        </is>
      </c>
      <c r="BG2" s="2" t="inlineStr">
        <is>
          <t>Status</t>
        </is>
      </c>
      <c r="BH2" s="2" t="inlineStr">
        <is>
          <t>PathAngle</t>
        </is>
      </c>
      <c r="BI2" s="2" t="inlineStr">
        <is>
          <t>CurveRadius</t>
        </is>
      </c>
      <c r="BJ2" s="2" t="inlineStr">
        <is>
          <t>SegmentCount</t>
        </is>
      </c>
      <c r="BK2" s="2" t="inlineStr">
        <is>
          <t>PnPClassName</t>
        </is>
      </c>
      <c r="BL2" s="2" t="inlineStr">
        <is>
          <t>ExcelFormatVersion_2.0</t>
        </is>
      </c>
    </row>
    <row r="3">
      <c r="A3" s="1" t="n"/>
      <c r="B3" s="1" t="n"/>
      <c r="C3" s="1" t="n"/>
      <c r="D3" s="1" t="n"/>
      <c r="E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J3" s="1" t="n"/>
      <c r="AK3" s="1" t="n"/>
      <c r="AL3" s="1" t="n"/>
      <c r="AN3" s="1" t="n"/>
      <c r="AR3" s="1" t="n"/>
      <c r="AS3" s="1" t="n"/>
      <c r="AT3" s="1" t="n"/>
      <c r="AU3" s="1" t="n"/>
    </row>
    <row r="4">
      <c r="A4" s="1" t="n"/>
      <c r="B4" s="1" t="n"/>
      <c r="C4" s="1" t="n"/>
      <c r="D4" s="1" t="n"/>
      <c r="E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J4" s="1" t="n"/>
      <c r="AK4" s="1" t="n"/>
      <c r="AL4" s="1" t="n"/>
      <c r="AN4" s="1" t="n"/>
      <c r="AR4" s="1" t="n"/>
      <c r="AS4" s="1" t="n"/>
      <c r="AT4" s="1" t="n"/>
      <c r="AU4" s="1" t="n"/>
    </row>
    <row r="5">
      <c r="A5" s="1" t="n"/>
      <c r="B5" s="1" t="n"/>
      <c r="C5" s="1" t="n"/>
      <c r="D5" s="1" t="n"/>
      <c r="E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J5" s="1" t="n"/>
      <c r="AK5" s="1" t="n"/>
      <c r="AL5" s="1" t="n"/>
      <c r="AN5" s="1" t="n"/>
      <c r="AR5" s="1" t="n"/>
      <c r="AS5" s="1" t="n"/>
      <c r="AT5" s="1" t="n"/>
      <c r="AU5" s="1" t="n"/>
    </row>
  </sheetData>
  <dataValidations disablePrompts="1" count="2">
    <dataValidation sqref="AD3:AD20" showDropDown="0" showInputMessage="1" showErrorMessage="1" allowBlank="1" errorTitle="" error="" promptTitle="" prompt="" type="list" errorStyle="stop" operator="between">
      <formula1>"LB,KG"</formula1>
    </dataValidation>
    <dataValidation sqref="I3:I20 K3:K20 P3:P20 S3:T20 AC3:AC20 AI3:AI20 AM3:AM20 AS3:AU20" showDropDown="0" showInputMessage="1" showErrorMessage="1" allowBlank="1" errorTitle="" error="" promptTitle="" prompt="" type="decimal" errorStyle="stop" operator="between">
      <formula1>-5</formula1>
      <formula2>100000</formula2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L5"/>
  <sheetViews>
    <sheetView topLeftCell="S2" workbookViewId="0">
      <selection activeCell="Z4" sqref="Z4"/>
    </sheetView>
  </sheetViews>
  <sheetFormatPr baseColWidth="8" defaultColWidth="9.139196" defaultRowHeight="15"/>
  <cols>
    <col width="9.140625" customWidth="1" style="1" min="1" max="1"/>
    <col width="5.425781" bestFit="1" customWidth="1" style="1" min="2" max="2"/>
    <col width="29.855469" bestFit="1" customWidth="1" style="1" min="3" max="3"/>
    <col width="118" bestFit="1" customWidth="1" style="1" min="4" max="4"/>
    <col width="3.710938" bestFit="1" customWidth="1" style="1" min="5" max="5"/>
    <col width="32.425781" bestFit="1" customWidth="1" min="6" max="6"/>
    <col width="37.140625" bestFit="1" customWidth="1" min="7" max="7"/>
    <col width="15.855469" bestFit="1" customWidth="1" style="1" min="8" max="8"/>
    <col width="23" bestFit="1" customWidth="1" style="1" min="9" max="9"/>
    <col width="18.425781" bestFit="1" customWidth="1" style="1" min="10" max="10"/>
    <col width="22" bestFit="1" customWidth="1" style="1" min="11" max="11"/>
    <col width="14.425781" bestFit="1" customWidth="1" style="1" min="12" max="12"/>
    <col width="15.570312" bestFit="1" customWidth="1" style="1" min="13" max="13"/>
    <col width="15.855469" bestFit="1" customWidth="1" style="1" min="14" max="14"/>
    <col width="12.285156" bestFit="1" customWidth="1" style="1" min="15" max="15"/>
    <col width="21.570312" bestFit="1" customWidth="1" style="1" min="16" max="16"/>
    <col width="19.140625" bestFit="1" customWidth="1" style="1" min="17" max="17"/>
    <col width="15" bestFit="1" customWidth="1" style="1" min="18" max="18"/>
    <col width="19.710938" bestFit="1" customWidth="1" style="1" min="19" max="19"/>
    <col width="24.140625" bestFit="1" customWidth="1" style="1" min="20" max="20"/>
    <col width="16.710938" bestFit="1" customWidth="1" style="1" min="21" max="21"/>
    <col width="24.140625" bestFit="1" customWidth="1" style="1" min="22" max="22"/>
    <col width="19.425781" bestFit="1" customWidth="1" style="1" min="23" max="23"/>
    <col width="9.855468999999999" bestFit="1" customWidth="1" style="1" min="24" max="24"/>
    <col width="64.140625" bestFit="1" customWidth="1" style="1" min="25" max="25"/>
    <col width="69.425781" bestFit="1" customWidth="1" style="1" min="26" max="26"/>
    <col width="8.570311999999999" bestFit="1" customWidth="1" style="1" min="27" max="27"/>
    <col width="13.285156" bestFit="1" customWidth="1" style="1" min="28" max="28"/>
    <col width="7.570312" bestFit="1" customWidth="1" style="1" min="29" max="29"/>
    <col width="11.425781" bestFit="1" customWidth="1" style="1" min="30" max="30"/>
    <col width="5.285156" bestFit="1" customWidth="1" style="1" min="31" max="32"/>
    <col width="36.425781" bestFit="1" customWidth="1" min="33" max="33"/>
    <col width="19" bestFit="1" customWidth="1" min="34" max="34"/>
    <col width="10" bestFit="1" customWidth="1" min="35" max="35"/>
    <col width="13.285156" bestFit="1" customWidth="1" style="1" min="36" max="36"/>
    <col width="9.710938000000001" bestFit="1" customWidth="1" style="1" min="37" max="37"/>
    <col width="20.425781" bestFit="1" customWidth="1" style="1" min="38" max="38"/>
    <col width="20.425781" bestFit="1" customWidth="1" min="39" max="39"/>
    <col width="22.425781" bestFit="1" customWidth="1" style="1" min="40" max="40"/>
    <col width="12.425781" bestFit="1" customWidth="1" min="41" max="41"/>
    <col width="26.855469" bestFit="1" customWidth="1" min="42" max="42"/>
    <col width="11.425781" bestFit="1" customWidth="1" min="43" max="43"/>
    <col width="6.425781" bestFit="1" customWidth="1" style="1" min="44" max="44"/>
    <col width="10.140625" bestFit="1" customWidth="1" style="1" min="45" max="45"/>
    <col width="12" bestFit="1" customWidth="1" style="1" min="46" max="46"/>
    <col width="14.285156" bestFit="1" customWidth="1" style="1" min="47" max="47"/>
    <col width="14.285156" bestFit="1" customWidth="1" min="48" max="48"/>
    <col width="22.710938" bestFit="1" customWidth="1" min="49" max="49"/>
    <col width="9.140625" customWidth="1" min="50" max="65"/>
  </cols>
  <sheetData>
    <row r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DN</t>
        </is>
      </c>
      <c r="F1" t="inlineStr">
        <is>
          <t>ContentGeometryParamDefinition</t>
        </is>
      </c>
      <c r="G1" t="inlineStr">
        <is>
          <t>SizeRecordId_S1</t>
        </is>
      </c>
      <c r="H1" s="77" t="inlineStr">
        <is>
          <t>PortName_S1</t>
        </is>
      </c>
      <c r="I1" s="1" t="inlineStr">
        <is>
          <t>NominalDiameter_S1</t>
        </is>
      </c>
      <c r="J1" s="1" t="inlineStr">
        <is>
          <t>NominalUnit_S1</t>
        </is>
      </c>
      <c r="K1" s="1" t="inlineStr">
        <is>
          <t>MatchingPipeOd_S1</t>
        </is>
      </c>
      <c r="L1" s="1" t="inlineStr">
        <is>
          <t>EndType_S1</t>
        </is>
      </c>
      <c r="M1" s="1" t="inlineStr">
        <is>
          <t>FlangeStd_S1</t>
        </is>
      </c>
      <c r="N1" s="1" t="inlineStr">
        <is>
          <t>GasketStd_S1</t>
        </is>
      </c>
      <c r="O1" s="1" t="inlineStr">
        <is>
          <t>Facing_S1</t>
        </is>
      </c>
      <c r="P1" s="1" t="inlineStr">
        <is>
          <t>FlangeThickness_S1</t>
        </is>
      </c>
      <c r="Q1" s="1" t="inlineStr">
        <is>
          <t>PressureClass_S1</t>
        </is>
      </c>
      <c r="R1" s="1" t="inlineStr">
        <is>
          <t>Schedule_S1</t>
        </is>
      </c>
      <c r="S1" s="1" t="inlineStr">
        <is>
          <t>WallThickness_S1</t>
        </is>
      </c>
      <c r="T1" s="1" t="inlineStr">
        <is>
          <t>EngagementLength_S1</t>
        </is>
      </c>
      <c r="U1" s="1" t="inlineStr">
        <is>
          <t>LengthUnit_S1</t>
        </is>
      </c>
      <c r="V1" t="inlineStr">
        <is>
          <t>SizeRecordId_S2</t>
        </is>
      </c>
      <c r="W1" t="inlineStr">
        <is>
          <t>PortName_S2</t>
        </is>
      </c>
      <c r="X1" t="inlineStr">
        <is>
          <t>NominalDiameter_S2</t>
        </is>
      </c>
      <c r="Y1" t="inlineStr">
        <is>
          <t>NominalUnit_S2</t>
        </is>
      </c>
      <c r="Z1" t="inlineStr">
        <is>
          <t>MatchingPipeOd_S2</t>
        </is>
      </c>
      <c r="AA1" t="inlineStr">
        <is>
          <t>EndType_S2</t>
        </is>
      </c>
      <c r="AB1" t="inlineStr">
        <is>
          <t>FlangeStd_S2</t>
        </is>
      </c>
      <c r="AC1" t="inlineStr">
        <is>
          <t>GasketStd_S2</t>
        </is>
      </c>
      <c r="AD1" t="inlineStr">
        <is>
          <t>Facing_S2</t>
        </is>
      </c>
      <c r="AE1" t="inlineStr">
        <is>
          <t>FlangeThickness_S2</t>
        </is>
      </c>
      <c r="AF1" t="inlineStr">
        <is>
          <t>PressureClass_S2</t>
        </is>
      </c>
      <c r="AG1" t="inlineStr">
        <is>
          <t>Schedule_S2</t>
        </is>
      </c>
      <c r="AH1" t="inlineStr">
        <is>
          <t>WallThickness_S2</t>
        </is>
      </c>
      <c r="AI1" t="inlineStr">
        <is>
          <t>EngagementLength_S2</t>
        </is>
      </c>
      <c r="AJ1" t="inlineStr">
        <is>
          <t>LengthUnit_S2</t>
        </is>
      </c>
      <c r="AK1" s="1" t="inlineStr">
        <is>
          <t>ShortDescription</t>
        </is>
      </c>
      <c r="AL1" s="1" t="inlineStr">
        <is>
          <t>CompatibleStandard</t>
        </is>
      </c>
      <c r="AM1" s="1" t="inlineStr">
        <is>
          <t>DesignStd</t>
        </is>
      </c>
      <c r="AN1" s="1" t="inlineStr">
        <is>
          <t>PartFamilyLongDesc</t>
        </is>
      </c>
      <c r="AO1" s="1" t="inlineStr">
        <is>
          <t>PartSizeLongDesc</t>
        </is>
      </c>
      <c r="AP1" s="1" t="inlineStr">
        <is>
          <t>Material</t>
        </is>
      </c>
      <c r="AQ1" s="1" t="inlineStr">
        <is>
          <t>MaterialCode</t>
        </is>
      </c>
      <c r="AR1" s="1" t="inlineStr">
        <is>
          <t>Weight</t>
        </is>
      </c>
      <c r="AS1" s="1" t="inlineStr">
        <is>
          <t>WeightUnit</t>
        </is>
      </c>
      <c r="AT1" s="1" t="inlineStr">
        <is>
          <t>SKEY</t>
        </is>
      </c>
      <c r="AU1" s="1" t="inlineStr">
        <is>
          <t>TYPE</t>
        </is>
      </c>
      <c r="AV1" t="inlineStr">
        <is>
          <t>PartFamilyId</t>
        </is>
      </c>
      <c r="AW1" t="inlineStr">
        <is>
          <t>CatalogPartFamilyId</t>
        </is>
      </c>
      <c r="AX1" t="inlineStr">
        <is>
          <t>PartStatus</t>
        </is>
      </c>
      <c r="AY1" s="1" t="inlineStr">
        <is>
          <t>Manufacturer</t>
        </is>
      </c>
      <c r="AZ1" s="1" t="inlineStr">
        <is>
          <t>ItemCode</t>
        </is>
      </c>
      <c r="BA1" s="1" t="inlineStr">
        <is>
          <t>DesignPressureFactor</t>
        </is>
      </c>
      <c r="BB1" t="inlineStr">
        <is>
          <t>ConnectionPortCount</t>
        </is>
      </c>
      <c r="BC1" s="1" t="inlineStr">
        <is>
          <t>ComponentDesignation</t>
        </is>
      </c>
      <c r="BD1" t="inlineStr">
        <is>
          <t>PartCategory</t>
        </is>
      </c>
      <c r="BE1" t="inlineStr">
        <is>
          <t>ContentIsoSymbolDefinition</t>
        </is>
      </c>
      <c r="BF1" t="inlineStr">
        <is>
          <t>PartVersion</t>
        </is>
      </c>
      <c r="BG1" s="1" t="inlineStr">
        <is>
          <t>Status</t>
        </is>
      </c>
      <c r="BH1" s="1" t="inlineStr">
        <is>
          <t>PathAngle</t>
        </is>
      </c>
      <c r="BI1" s="1" t="inlineStr">
        <is>
          <t>CurveRadius</t>
        </is>
      </c>
      <c r="BJ1" s="1" t="inlineStr">
        <is>
          <t>SegmentCount</t>
        </is>
      </c>
      <c r="BK1" t="inlineStr">
        <is>
          <t>PnPClassName</t>
        </is>
      </c>
      <c r="BL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DN</t>
        </is>
      </c>
      <c r="F2" s="2" t="inlineStr">
        <is>
          <t>ContentGeometryParamDefinition</t>
        </is>
      </c>
      <c r="G2" s="2" t="inlineStr">
        <is>
          <t>SizeRecordId_S1</t>
        </is>
      </c>
      <c r="H2" s="78" t="inlineStr">
        <is>
          <t>PortName_S1</t>
        </is>
      </c>
      <c r="I2" s="2" t="inlineStr">
        <is>
          <t>NominalDiameter_S1</t>
        </is>
      </c>
      <c r="J2" s="2" t="inlineStr">
        <is>
          <t>NominalUnit_S1</t>
        </is>
      </c>
      <c r="K2" s="2" t="inlineStr">
        <is>
          <t>MatchingPipeOd_S1</t>
        </is>
      </c>
      <c r="L2" s="2" t="inlineStr">
        <is>
          <t>EndType_S1</t>
        </is>
      </c>
      <c r="M2" s="2" t="inlineStr">
        <is>
          <t>FlangeStd_S1</t>
        </is>
      </c>
      <c r="N2" s="2" t="inlineStr">
        <is>
          <t>GasketStd_S1</t>
        </is>
      </c>
      <c r="O2" s="2" t="inlineStr">
        <is>
          <t>Facing_S1</t>
        </is>
      </c>
      <c r="P2" s="2" t="inlineStr">
        <is>
          <t>FlangeThickness_S1</t>
        </is>
      </c>
      <c r="Q2" s="2" t="inlineStr">
        <is>
          <t>PressureClass_S1</t>
        </is>
      </c>
      <c r="R2" s="2" t="inlineStr">
        <is>
          <t>Schedule_S1</t>
        </is>
      </c>
      <c r="S2" s="2" t="inlineStr">
        <is>
          <t>WallThickness_S1</t>
        </is>
      </c>
      <c r="T2" s="2" t="inlineStr">
        <is>
          <t>EngagementLength_S1</t>
        </is>
      </c>
      <c r="U2" s="2" t="inlineStr">
        <is>
          <t>LengthUnit_S1</t>
        </is>
      </c>
      <c r="V2" t="inlineStr">
        <is>
          <t>SizeRecordId_S2</t>
        </is>
      </c>
      <c r="W2" t="inlineStr">
        <is>
          <t>PortName_S2</t>
        </is>
      </c>
      <c r="X2" t="inlineStr">
        <is>
          <t>NominalDiameter_S2</t>
        </is>
      </c>
      <c r="Y2" t="inlineStr">
        <is>
          <t>NominalUnit_S2</t>
        </is>
      </c>
      <c r="Z2" t="inlineStr">
        <is>
          <t>MatchingPipeOd_S2</t>
        </is>
      </c>
      <c r="AA2" t="inlineStr">
        <is>
          <t>EndType_S2</t>
        </is>
      </c>
      <c r="AB2" t="inlineStr">
        <is>
          <t>FlangeStd_S2</t>
        </is>
      </c>
      <c r="AC2" t="inlineStr">
        <is>
          <t>GasketStd_S2</t>
        </is>
      </c>
      <c r="AD2" t="inlineStr">
        <is>
          <t>Facing_S2</t>
        </is>
      </c>
      <c r="AE2" t="inlineStr">
        <is>
          <t>FlangeThickness_S2</t>
        </is>
      </c>
      <c r="AF2" t="inlineStr">
        <is>
          <t>PressureClass_S2</t>
        </is>
      </c>
      <c r="AG2" t="inlineStr">
        <is>
          <t>Schedule_S2</t>
        </is>
      </c>
      <c r="AH2" t="inlineStr">
        <is>
          <t>WallThickness_S2</t>
        </is>
      </c>
      <c r="AI2" t="inlineStr">
        <is>
          <t>EngagementLength_S2</t>
        </is>
      </c>
      <c r="AJ2" t="inlineStr">
        <is>
          <t>LengthUnit_S2</t>
        </is>
      </c>
      <c r="AK2" s="2" t="inlineStr">
        <is>
          <t>ShortDescription</t>
        </is>
      </c>
      <c r="AL2" s="2" t="inlineStr">
        <is>
          <t>CompatibleStandard</t>
        </is>
      </c>
      <c r="AM2" s="2" t="inlineStr">
        <is>
          <t>DesignStd</t>
        </is>
      </c>
      <c r="AN2" s="2" t="inlineStr">
        <is>
          <t>PartFamilyLongDesc</t>
        </is>
      </c>
      <c r="AO2" s="2" t="inlineStr">
        <is>
          <t>PartSizeLongDesc</t>
        </is>
      </c>
      <c r="AP2" s="2" t="inlineStr">
        <is>
          <t>Material</t>
        </is>
      </c>
      <c r="AQ2" s="2" t="inlineStr">
        <is>
          <t>MaterialCode</t>
        </is>
      </c>
      <c r="AR2" s="2" t="inlineStr">
        <is>
          <t>Weight</t>
        </is>
      </c>
      <c r="AS2" s="2" t="inlineStr">
        <is>
          <t>WeightUnit</t>
        </is>
      </c>
      <c r="AT2" s="2" t="inlineStr">
        <is>
          <t>SKEY</t>
        </is>
      </c>
      <c r="AU2" s="2" t="inlineStr">
        <is>
          <t>TYPE</t>
        </is>
      </c>
      <c r="AV2" s="2" t="inlineStr">
        <is>
          <t>PartFamilyId</t>
        </is>
      </c>
      <c r="AW2" s="2" t="inlineStr">
        <is>
          <t>CatalogPartFamilyId</t>
        </is>
      </c>
      <c r="AX2" s="2" t="inlineStr">
        <is>
          <t>PartStatus</t>
        </is>
      </c>
      <c r="AY2" s="2" t="inlineStr">
        <is>
          <t>Manufacturer</t>
        </is>
      </c>
      <c r="AZ2" s="2" t="inlineStr">
        <is>
          <t>ItemCode</t>
        </is>
      </c>
      <c r="BA2" s="2" t="inlineStr">
        <is>
          <t>DesignPressureFactor</t>
        </is>
      </c>
      <c r="BB2" s="2" t="inlineStr">
        <is>
          <t>ConnectionPortCount</t>
        </is>
      </c>
      <c r="BC2" s="2" t="inlineStr">
        <is>
          <t>ComponentDesignation</t>
        </is>
      </c>
      <c r="BD2" s="2" t="inlineStr">
        <is>
          <t>PartCategory</t>
        </is>
      </c>
      <c r="BE2" s="2" t="inlineStr">
        <is>
          <t>ContentIsoSymbolDefinition</t>
        </is>
      </c>
      <c r="BF2" s="2" t="inlineStr">
        <is>
          <t>PartVersion</t>
        </is>
      </c>
      <c r="BG2" s="2" t="inlineStr">
        <is>
          <t>Status</t>
        </is>
      </c>
      <c r="BH2" s="2" t="inlineStr">
        <is>
          <t>PathAngle</t>
        </is>
      </c>
      <c r="BI2" s="2" t="inlineStr">
        <is>
          <t>CurveRadius</t>
        </is>
      </c>
      <c r="BJ2" s="2" t="inlineStr">
        <is>
          <t>SegmentCount</t>
        </is>
      </c>
      <c r="BK2" s="2" t="inlineStr">
        <is>
          <t>PnPClassName</t>
        </is>
      </c>
      <c r="BL2" s="2" t="inlineStr">
        <is>
          <t>ExcelFormatVersion_2.0</t>
        </is>
      </c>
    </row>
    <row r="3">
      <c r="A3" s="1" t="n"/>
      <c r="B3" s="1" t="n"/>
      <c r="C3" s="1" t="n"/>
      <c r="D3" s="1" t="n"/>
      <c r="E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J3" s="1" t="n"/>
      <c r="AK3" s="1" t="n"/>
      <c r="AL3" s="1" t="n"/>
      <c r="AN3" s="1" t="n"/>
      <c r="AR3" s="1" t="n"/>
      <c r="AS3" s="1" t="n"/>
      <c r="AT3" s="1" t="n"/>
      <c r="AU3" s="1" t="n"/>
    </row>
    <row r="4">
      <c r="A4" s="1" t="n"/>
      <c r="B4" s="1" t="n"/>
      <c r="C4" s="1" t="n"/>
      <c r="D4" s="1" t="n"/>
      <c r="E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J4" s="1" t="n"/>
      <c r="AK4" s="1" t="n"/>
      <c r="AL4" s="1" t="n"/>
      <c r="AN4" s="1" t="n"/>
      <c r="AR4" s="1" t="n"/>
      <c r="AS4" s="1" t="n"/>
      <c r="AT4" s="1" t="n"/>
      <c r="AU4" s="1" t="n"/>
    </row>
    <row r="5">
      <c r="A5" s="1" t="n"/>
      <c r="B5" s="1" t="n"/>
      <c r="C5" s="1" t="n"/>
      <c r="D5" s="1" t="n"/>
      <c r="E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J5" s="1" t="n"/>
      <c r="AK5" s="1" t="n"/>
      <c r="AL5" s="1" t="n"/>
      <c r="AN5" s="1" t="n"/>
      <c r="AR5" s="1" t="n"/>
      <c r="AS5" s="1" t="n"/>
      <c r="AT5" s="1" t="n"/>
      <c r="AU5" s="1" t="n"/>
    </row>
  </sheetData>
  <dataValidations count="2">
    <dataValidation sqref="AD3:AD20" showDropDown="0" showInputMessage="1" showErrorMessage="1" allowBlank="1" errorTitle="" error="" promptTitle="" prompt="" type="list" errorStyle="stop" operator="between">
      <formula1>"LB,KG"</formula1>
    </dataValidation>
    <dataValidation sqref="I3:I20 K3:K20 P3:P20 S3:T20 AC3:AC20 AI3:AI20 AM3:AM20 AS3:AU20" showDropDown="0" showInputMessage="1" showErrorMessage="1" allowBlank="1" errorTitle="" error="" promptTitle="" prompt="" type="decimal" errorStyle="stop" operator="between">
      <formula1>-5</formula1>
      <formula2>100000</formula2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Previews</t>
        </is>
      </c>
      <c r="B1" t="inlineStr">
        <is>
          <t>Sizes</t>
        </is>
      </c>
      <c r="C1" t="inlineStr">
        <is>
          <t>ShapeName</t>
        </is>
      </c>
      <c r="D1" t="inlineStr">
        <is>
          <t>ScriptPath</t>
        </is>
      </c>
      <c r="E1" t="inlineStr">
        <is>
          <t>DN</t>
        </is>
      </c>
      <c r="F1" t="inlineStr">
        <is>
          <t>L</t>
        </is>
      </c>
      <c r="G1" t="inlineStr">
        <is>
          <t>D1</t>
        </is>
      </c>
      <c r="H1" t="inlineStr">
        <is>
          <t>ContentGeometryParamDefinition</t>
        </is>
      </c>
      <c r="I1" t="inlineStr">
        <is>
          <t>SizeRecordId_S-ALL</t>
        </is>
      </c>
      <c r="J1" t="inlineStr">
        <is>
          <t>PortName_S-ALL</t>
        </is>
      </c>
      <c r="K1" t="inlineStr">
        <is>
          <t>NominalDiameter_S-ALL</t>
        </is>
      </c>
      <c r="L1" t="inlineStr">
        <is>
          <t>NominalUnit_S-ALL</t>
        </is>
      </c>
      <c r="M1" t="inlineStr">
        <is>
          <t>MatchingPipeOd_S-ALL</t>
        </is>
      </c>
      <c r="N1" t="inlineStr">
        <is>
          <t>EndType_S-ALL</t>
        </is>
      </c>
      <c r="O1" t="inlineStr">
        <is>
          <t>Facing_S-ALL</t>
        </is>
      </c>
      <c r="P1" t="inlineStr">
        <is>
          <t>PressureClass_S-ALL</t>
        </is>
      </c>
      <c r="Q1" t="inlineStr">
        <is>
          <t>Schedule_S-ALL</t>
        </is>
      </c>
      <c r="R1" t="inlineStr">
        <is>
          <t>WallThickness_S-ALL</t>
        </is>
      </c>
      <c r="S1" t="inlineStr">
        <is>
          <t>EngagementLength_S-ALL</t>
        </is>
      </c>
      <c r="T1" t="inlineStr">
        <is>
          <t>LengthUnit_S-ALL</t>
        </is>
      </c>
      <c r="U1" t="inlineStr">
        <is>
          <t>ShortDescription</t>
        </is>
      </c>
      <c r="V1" t="inlineStr">
        <is>
          <t>CompatibleStandard</t>
        </is>
      </c>
      <c r="W1" t="inlineStr">
        <is>
          <t>DesignStd</t>
        </is>
      </c>
      <c r="X1" t="inlineStr">
        <is>
          <t>PartFamilyLongDesc</t>
        </is>
      </c>
      <c r="Y1" t="inlineStr">
        <is>
          <t>PartSizeLongDesc</t>
        </is>
      </c>
      <c r="Z1" t="inlineStr">
        <is>
          <t>Material</t>
        </is>
      </c>
      <c r="AA1" t="inlineStr">
        <is>
          <t>MaterialCode</t>
        </is>
      </c>
      <c r="AB1" t="inlineStr">
        <is>
          <t>Weight</t>
        </is>
      </c>
      <c r="AC1" t="inlineStr">
        <is>
          <t>WeightUnit</t>
        </is>
      </c>
      <c r="AD1" t="inlineStr">
        <is>
          <t>PartFamilyId</t>
        </is>
      </c>
      <c r="AE1" t="inlineStr">
        <is>
          <t>CatalogPartFamilyId</t>
        </is>
      </c>
      <c r="AF1" t="inlineStr">
        <is>
          <t>ConnectionPortCount</t>
        </is>
      </c>
      <c r="AG1" t="inlineStr">
        <is>
          <t>PartCategory</t>
        </is>
      </c>
      <c r="AH1" t="inlineStr">
        <is>
          <t>PnPClassName</t>
        </is>
      </c>
      <c r="AI1" t="inlineStr">
        <is>
          <t>SKEY</t>
        </is>
      </c>
      <c r="AJ1" t="inlineStr">
        <is>
          <t>TYPE</t>
        </is>
      </c>
      <c r="AK1" t="inlineStr">
        <is>
          <t>ContentIsoSymbolDefinition</t>
        </is>
      </c>
    </row>
    <row r="2">
      <c r="A2" t="inlineStr">
        <is>
          <t>Preview</t>
        </is>
      </c>
      <c r="B2" t="inlineStr">
        <is>
          <t>Sizes</t>
        </is>
      </c>
      <c r="C2" t="inlineStr">
        <is>
          <t>Shape Name</t>
        </is>
      </c>
      <c r="D2" t="inlineStr">
        <is>
          <t>Script Path</t>
        </is>
      </c>
      <c r="E2" t="inlineStr">
        <is>
          <t>DN</t>
        </is>
      </c>
      <c r="F2" t="inlineStr">
        <is>
          <t>L</t>
        </is>
      </c>
      <c r="G2" t="inlineStr">
        <is>
          <t>D1</t>
        </is>
      </c>
      <c r="H2" t="inlineStr">
        <is>
          <t>ContentGeometryParamDefinition</t>
        </is>
      </c>
      <c r="I2" t="inlineStr">
        <is>
          <t>Size Record Id_S-ALL</t>
        </is>
      </c>
      <c r="J2" t="inlineStr">
        <is>
          <t>Port Name_S-ALL</t>
        </is>
      </c>
      <c r="K2" t="inlineStr">
        <is>
          <t>Nominal Diameter_S-ALL</t>
        </is>
      </c>
      <c r="L2" t="inlineStr">
        <is>
          <t>Nominal Unit_S-ALL</t>
        </is>
      </c>
      <c r="M2" t="inlineStr">
        <is>
          <t>Matching Pipe OD_S-ALL</t>
        </is>
      </c>
      <c r="N2" t="inlineStr">
        <is>
          <t>End Type_S-ALL</t>
        </is>
      </c>
      <c r="O2" t="inlineStr">
        <is>
          <t>Facing_S-ALL</t>
        </is>
      </c>
      <c r="P2" t="inlineStr">
        <is>
          <t>Pressure Class_S-ALL</t>
        </is>
      </c>
      <c r="Q2" t="inlineStr">
        <is>
          <t>Schedule_S-ALL</t>
        </is>
      </c>
      <c r="R2" t="inlineStr">
        <is>
          <t>Wall Thickness_S-ALL</t>
        </is>
      </c>
      <c r="S2" t="inlineStr">
        <is>
          <t>Engagement Length_S-ALL</t>
        </is>
      </c>
      <c r="T2" t="inlineStr">
        <is>
          <t>Port Unit_S-ALL</t>
        </is>
      </c>
      <c r="U2" t="inlineStr">
        <is>
          <t>Short Description</t>
        </is>
      </c>
      <c r="V2" t="inlineStr">
        <is>
          <t>Compatible Standard</t>
        </is>
      </c>
      <c r="W2" t="inlineStr">
        <is>
          <t>Design Std</t>
        </is>
      </c>
      <c r="X2" t="inlineStr">
        <is>
          <t>Long Description (Family)</t>
        </is>
      </c>
      <c r="Y2" t="inlineStr">
        <is>
          <t>Long Description (Size)</t>
        </is>
      </c>
      <c r="Z2" t="inlineStr">
        <is>
          <t>Material</t>
        </is>
      </c>
      <c r="AA2" t="inlineStr">
        <is>
          <t>Material Code</t>
        </is>
      </c>
      <c r="AB2" t="inlineStr">
        <is>
          <t>Weight</t>
        </is>
      </c>
      <c r="AC2" t="inlineStr">
        <is>
          <t>Weight Unit</t>
        </is>
      </c>
      <c r="AD2" t="inlineStr">
        <is>
          <t>PartFamilyId</t>
        </is>
      </c>
      <c r="AE2" t="inlineStr">
        <is>
          <t>CatalogPartFamilyId</t>
        </is>
      </c>
      <c r="AF2" t="inlineStr">
        <is>
          <t>ConnectionPortCount</t>
        </is>
      </c>
      <c r="AG2" t="inlineStr">
        <is>
          <t>PartCategory</t>
        </is>
      </c>
      <c r="AH2" t="inlineStr">
        <is>
          <t>PnPClassName</t>
        </is>
      </c>
      <c r="AI2" t="inlineStr">
        <is>
          <t>SKEY</t>
        </is>
      </c>
      <c r="AJ2" t="inlineStr">
        <is>
          <t>TYPE</t>
        </is>
      </c>
      <c r="AK2" t="inlineStr">
        <is>
          <t>ContentIsoSymbolDefinition</t>
        </is>
      </c>
    </row>
    <row r="3">
      <c r="C3" t="inlineStr">
        <is>
          <t>CUST_VALVE_FL_CL150</t>
        </is>
      </c>
      <c r="H3" t="inlineStr">
        <is>
          <t>DN,L</t>
        </is>
      </c>
      <c r="J3" t="inlineStr">
        <is>
          <t>ALL</t>
        </is>
      </c>
      <c r="L3" t="inlineStr">
        <is>
          <t>mm</t>
        </is>
      </c>
      <c r="N3" t="inlineStr">
        <is>
          <t>FL</t>
        </is>
      </c>
      <c r="O3" t="inlineStr">
        <is>
          <t>RF</t>
        </is>
      </c>
      <c r="P3" t="inlineStr">
        <is>
          <t>150</t>
        </is>
      </c>
      <c r="T3" t="inlineStr">
        <is>
          <t>mm</t>
        </is>
      </c>
      <c r="U3" t="inlineStr">
        <is>
          <t>Custom flanged valve</t>
        </is>
      </c>
      <c r="V3" t="inlineStr">
        <is>
          <t>ASME B16.10 / manufacturer</t>
        </is>
      </c>
      <c r="W3" t="inlineStr">
        <is>
          <t>Custom</t>
        </is>
      </c>
      <c r="X3" t="inlineStr">
        <is>
          <t>Valve. Flanged CL150 RF CS Custom — minimal (DN + face-to-face)</t>
        </is>
      </c>
      <c r="Z3" t="inlineStr">
        <is>
          <t>CS</t>
        </is>
      </c>
      <c r="AF3" t="inlineStr">
        <is>
          <t>2</t>
        </is>
      </c>
      <c r="AG3" t="inlineStr">
        <is>
          <t>Valves</t>
        </is>
      </c>
      <c r="AH3" t="inlineStr">
        <is>
          <t>Valve</t>
        </is>
      </c>
      <c r="AI3" t="inlineStr">
        <is>
          <t>VFLG</t>
        </is>
      </c>
      <c r="AJ3" t="inlineStr">
        <is>
          <t>VALVE</t>
        </is>
      </c>
      <c r="AK3" t="inlineStr">
        <is>
          <t>TYPE=VALVE,SKEY=VFLG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Previews</t>
        </is>
      </c>
      <c r="B1" t="inlineStr">
        <is>
          <t>Sizes</t>
        </is>
      </c>
      <c r="C1" t="inlineStr">
        <is>
          <t>ShapeName</t>
        </is>
      </c>
      <c r="D1" t="inlineStr">
        <is>
          <t>ScriptPath</t>
        </is>
      </c>
      <c r="E1" t="inlineStr">
        <is>
          <t>DN</t>
        </is>
      </c>
      <c r="F1" t="inlineStr">
        <is>
          <t>D1</t>
        </is>
      </c>
      <c r="G1" t="inlineStr">
        <is>
          <t>D2</t>
        </is>
      </c>
      <c r="H1" t="inlineStr">
        <is>
          <t>L</t>
        </is>
      </c>
      <c r="I1" t="inlineStr">
        <is>
          <t>LS</t>
        </is>
      </c>
      <c r="J1" t="inlineStr">
        <is>
          <t>H1</t>
        </is>
      </c>
      <c r="K1" t="inlineStr">
        <is>
          <t>H2</t>
        </is>
      </c>
      <c r="L1" t="inlineStr">
        <is>
          <t>W1</t>
        </is>
      </c>
      <c r="M1" t="inlineStr">
        <is>
          <t>W2</t>
        </is>
      </c>
      <c r="N1" t="inlineStr">
        <is>
          <t>OF</t>
        </is>
      </c>
      <c r="O1" t="inlineStr">
        <is>
          <t>B1</t>
        </is>
      </c>
      <c r="P1" t="inlineStr">
        <is>
          <t>B2</t>
        </is>
      </c>
      <c r="Q1" t="inlineStr">
        <is>
          <t>ContentGeometryParamDefinition</t>
        </is>
      </c>
      <c r="R1" t="inlineStr">
        <is>
          <t>SizeRecordId_S-ALL</t>
        </is>
      </c>
      <c r="S1" t="inlineStr">
        <is>
          <t>PortName_S-ALL</t>
        </is>
      </c>
      <c r="T1" t="inlineStr">
        <is>
          <t>NominalDiameter_S-ALL</t>
        </is>
      </c>
      <c r="U1" t="inlineStr">
        <is>
          <t>NominalUnit_S-ALL</t>
        </is>
      </c>
      <c r="V1" t="inlineStr">
        <is>
          <t>MatchingPipeOd_S-ALL</t>
        </is>
      </c>
      <c r="W1" t="inlineStr">
        <is>
          <t>EndType_S-ALL</t>
        </is>
      </c>
      <c r="X1" t="inlineStr">
        <is>
          <t>Facing_S-ALL</t>
        </is>
      </c>
      <c r="Y1" t="inlineStr">
        <is>
          <t>PressureClass_S-ALL</t>
        </is>
      </c>
      <c r="Z1" t="inlineStr">
        <is>
          <t>Schedule_S-ALL</t>
        </is>
      </c>
      <c r="AA1" t="inlineStr">
        <is>
          <t>WallThickness_S-ALL</t>
        </is>
      </c>
      <c r="AB1" t="inlineStr">
        <is>
          <t>EngagementLength_S-ALL</t>
        </is>
      </c>
      <c r="AC1" t="inlineStr">
        <is>
          <t>LengthUnit_S-ALL</t>
        </is>
      </c>
      <c r="AD1" t="inlineStr">
        <is>
          <t>ShortDescription</t>
        </is>
      </c>
      <c r="AE1" t="inlineStr">
        <is>
          <t>CompatibleStandard</t>
        </is>
      </c>
      <c r="AF1" t="inlineStr">
        <is>
          <t>DesignStd</t>
        </is>
      </c>
      <c r="AG1" t="inlineStr">
        <is>
          <t>PartFamilyLongDesc</t>
        </is>
      </c>
      <c r="AH1" t="inlineStr">
        <is>
          <t>PartSizeLongDesc</t>
        </is>
      </c>
      <c r="AI1" t="inlineStr">
        <is>
          <t>Material</t>
        </is>
      </c>
      <c r="AJ1" t="inlineStr">
        <is>
          <t>MaterialCode</t>
        </is>
      </c>
      <c r="AK1" t="inlineStr">
        <is>
          <t>Weight</t>
        </is>
      </c>
      <c r="AL1" t="inlineStr">
        <is>
          <t>WeightUnit</t>
        </is>
      </c>
      <c r="AM1" t="inlineStr">
        <is>
          <t>PartFamilyId</t>
        </is>
      </c>
      <c r="AN1" t="inlineStr">
        <is>
          <t>CatalogPartFamilyId</t>
        </is>
      </c>
      <c r="AO1" t="inlineStr">
        <is>
          <t>ConnectionPortCount</t>
        </is>
      </c>
      <c r="AP1" t="inlineStr">
        <is>
          <t>PartCategory</t>
        </is>
      </c>
      <c r="AQ1" t="inlineStr">
        <is>
          <t>PnPClassName</t>
        </is>
      </c>
      <c r="AR1" t="inlineStr">
        <is>
          <t>SKEY</t>
        </is>
      </c>
      <c r="AS1" t="inlineStr">
        <is>
          <t>TYPE</t>
        </is>
      </c>
      <c r="AT1" t="inlineStr">
        <is>
          <t>ContentIsoSymbolDefinition</t>
        </is>
      </c>
    </row>
    <row r="2">
      <c r="A2" t="inlineStr">
        <is>
          <t>Preview</t>
        </is>
      </c>
      <c r="B2" t="inlineStr">
        <is>
          <t>Sizes</t>
        </is>
      </c>
      <c r="C2" t="inlineStr">
        <is>
          <t>Shape Name</t>
        </is>
      </c>
      <c r="D2" t="inlineStr">
        <is>
          <t>Script Path</t>
        </is>
      </c>
      <c r="E2" t="inlineStr">
        <is>
          <t>DN</t>
        </is>
      </c>
      <c r="F2" t="inlineStr">
        <is>
          <t>D1</t>
        </is>
      </c>
      <c r="G2" t="inlineStr">
        <is>
          <t>D2</t>
        </is>
      </c>
      <c r="H2" t="inlineStr">
        <is>
          <t>L</t>
        </is>
      </c>
      <c r="I2" t="inlineStr">
        <is>
          <t>LS</t>
        </is>
      </c>
      <c r="J2" t="inlineStr">
        <is>
          <t>H1</t>
        </is>
      </c>
      <c r="K2" t="inlineStr">
        <is>
          <t>H2</t>
        </is>
      </c>
      <c r="L2" t="inlineStr">
        <is>
          <t>W1</t>
        </is>
      </c>
      <c r="M2" t="inlineStr">
        <is>
          <t>W2</t>
        </is>
      </c>
      <c r="N2" t="inlineStr">
        <is>
          <t>OF</t>
        </is>
      </c>
      <c r="O2" t="inlineStr">
        <is>
          <t>B1</t>
        </is>
      </c>
      <c r="P2" t="inlineStr">
        <is>
          <t>B2</t>
        </is>
      </c>
      <c r="Q2" t="inlineStr">
        <is>
          <t>ContentGeometryParamDefinition</t>
        </is>
      </c>
      <c r="R2" t="inlineStr">
        <is>
          <t>Size Record Id_S-ALL</t>
        </is>
      </c>
      <c r="S2" t="inlineStr">
        <is>
          <t>Port Name_S-ALL</t>
        </is>
      </c>
      <c r="T2" t="inlineStr">
        <is>
          <t>Nominal Diameter_S-ALL</t>
        </is>
      </c>
      <c r="U2" t="inlineStr">
        <is>
          <t>Nominal Unit_S-ALL</t>
        </is>
      </c>
      <c r="V2" t="inlineStr">
        <is>
          <t>Matching Pipe OD_S-ALL</t>
        </is>
      </c>
      <c r="W2" t="inlineStr">
        <is>
          <t>End Type_S-ALL</t>
        </is>
      </c>
      <c r="X2" t="inlineStr">
        <is>
          <t>Facing_S-ALL</t>
        </is>
      </c>
      <c r="Y2" t="inlineStr">
        <is>
          <t>Pressure Class_S-ALL</t>
        </is>
      </c>
      <c r="Z2" t="inlineStr">
        <is>
          <t>Schedule_S-ALL</t>
        </is>
      </c>
      <c r="AA2" t="inlineStr">
        <is>
          <t>Wall Thickness_S-ALL</t>
        </is>
      </c>
      <c r="AB2" t="inlineStr">
        <is>
          <t>Engagement Length_S-ALL</t>
        </is>
      </c>
      <c r="AC2" t="inlineStr">
        <is>
          <t>Port Unit_S-ALL</t>
        </is>
      </c>
      <c r="AD2" t="inlineStr">
        <is>
          <t>Short Description</t>
        </is>
      </c>
      <c r="AE2" t="inlineStr">
        <is>
          <t>Compatible Standard</t>
        </is>
      </c>
      <c r="AF2" t="inlineStr">
        <is>
          <t>Design Std</t>
        </is>
      </c>
      <c r="AG2" t="inlineStr">
        <is>
          <t>Long Description (Family)</t>
        </is>
      </c>
      <c r="AH2" t="inlineStr">
        <is>
          <t>Long Description (Size)</t>
        </is>
      </c>
      <c r="AI2" t="inlineStr">
        <is>
          <t>Material</t>
        </is>
      </c>
      <c r="AJ2" t="inlineStr">
        <is>
          <t>Material Code</t>
        </is>
      </c>
      <c r="AK2" t="inlineStr">
        <is>
          <t>Weight</t>
        </is>
      </c>
      <c r="AL2" t="inlineStr">
        <is>
          <t>Weight Unit</t>
        </is>
      </c>
      <c r="AM2" t="inlineStr">
        <is>
          <t>PartFamilyId</t>
        </is>
      </c>
      <c r="AN2" t="inlineStr">
        <is>
          <t>CatalogPartFamilyId</t>
        </is>
      </c>
      <c r="AO2" t="inlineStr">
        <is>
          <t>ConnectionPortCount</t>
        </is>
      </c>
      <c r="AP2" t="inlineStr">
        <is>
          <t>PartCategory</t>
        </is>
      </c>
      <c r="AQ2" t="inlineStr">
        <is>
          <t>PnPClassName</t>
        </is>
      </c>
      <c r="AR2" t="inlineStr">
        <is>
          <t>SKEY</t>
        </is>
      </c>
      <c r="AS2" t="inlineStr">
        <is>
          <t>TYPE</t>
        </is>
      </c>
      <c r="AT2" t="inlineStr">
        <is>
          <t>ContentIsoSymbolDefinition</t>
        </is>
      </c>
    </row>
    <row r="3">
      <c r="C3" t="inlineStr">
        <is>
          <t>CUST_VALVE_FL_RICH</t>
        </is>
      </c>
      <c r="Q3" t="inlineStr">
        <is>
          <t>D1,D2,L,LS,H1,H2,W1,W2,OF,B1,B2,</t>
        </is>
      </c>
      <c r="S3" t="inlineStr">
        <is>
          <t>ALL</t>
        </is>
      </c>
      <c r="U3" t="inlineStr">
        <is>
          <t>mm</t>
        </is>
      </c>
      <c r="W3" t="inlineStr">
        <is>
          <t>FL</t>
        </is>
      </c>
      <c r="X3" t="inlineStr">
        <is>
          <t>RF</t>
        </is>
      </c>
      <c r="Y3" t="inlineStr">
        <is>
          <t>150</t>
        </is>
      </c>
      <c r="AC3" t="inlineStr">
        <is>
          <t>mm</t>
        </is>
      </c>
      <c r="AD3" t="inlineStr">
        <is>
          <t>Flanged valve (rich dims)</t>
        </is>
      </c>
      <c r="AE3" t="inlineStr">
        <is>
          <t>ASME B16.10 / manufacturer</t>
        </is>
      </c>
      <c r="AF3" t="inlineStr">
        <is>
          <t>Custom</t>
        </is>
      </c>
      <c r="AG3" t="inlineStr">
        <is>
          <t>Valve. Flanged CL150 RF CS — gate/globe/plug style (Plant-like geometry columns)</t>
        </is>
      </c>
      <c r="AI3" t="inlineStr">
        <is>
          <t>CS</t>
        </is>
      </c>
      <c r="AO3" t="inlineStr">
        <is>
          <t>2</t>
        </is>
      </c>
      <c r="AP3" t="inlineStr">
        <is>
          <t>Valves</t>
        </is>
      </c>
      <c r="AQ3" t="inlineStr">
        <is>
          <t>Valve</t>
        </is>
      </c>
      <c r="AR3" t="inlineStr">
        <is>
          <t>VFLG</t>
        </is>
      </c>
      <c r="AS3" t="inlineStr">
        <is>
          <t>VALVE</t>
        </is>
      </c>
      <c r="AT3" t="inlineStr">
        <is>
          <t>TYPE=VALVE,SKEY=VFLG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Previews</t>
        </is>
      </c>
      <c r="B1" t="inlineStr">
        <is>
          <t>Sizes</t>
        </is>
      </c>
      <c r="C1" t="inlineStr">
        <is>
          <t>ShapeName</t>
        </is>
      </c>
      <c r="D1" t="inlineStr">
        <is>
          <t>ScriptPath</t>
        </is>
      </c>
      <c r="E1" t="inlineStr">
        <is>
          <t>DN</t>
        </is>
      </c>
      <c r="F1" t="inlineStr">
        <is>
          <t>D1</t>
        </is>
      </c>
      <c r="G1" t="inlineStr">
        <is>
          <t>D2</t>
        </is>
      </c>
      <c r="H1" t="inlineStr">
        <is>
          <t>L</t>
        </is>
      </c>
      <c r="I1" t="inlineStr">
        <is>
          <t>LS</t>
        </is>
      </c>
      <c r="J1" t="inlineStr">
        <is>
          <t>H1</t>
        </is>
      </c>
      <c r="K1" t="inlineStr">
        <is>
          <t>H2</t>
        </is>
      </c>
      <c r="L1" t="inlineStr">
        <is>
          <t>D3</t>
        </is>
      </c>
      <c r="M1" t="inlineStr">
        <is>
          <t>W1</t>
        </is>
      </c>
      <c r="N1" t="inlineStr">
        <is>
          <t>W2</t>
        </is>
      </c>
      <c r="O1" t="inlineStr">
        <is>
          <t>OF</t>
        </is>
      </c>
      <c r="P1" t="inlineStr">
        <is>
          <t>B1</t>
        </is>
      </c>
      <c r="Q1" t="inlineStr">
        <is>
          <t>B2</t>
        </is>
      </c>
      <c r="R1" t="inlineStr">
        <is>
          <t>ContentGeometryParamDefinition</t>
        </is>
      </c>
      <c r="S1" t="inlineStr">
        <is>
          <t>SizeRecordId_S-ALL</t>
        </is>
      </c>
      <c r="T1" t="inlineStr">
        <is>
          <t>PortName_S-ALL</t>
        </is>
      </c>
      <c r="U1" t="inlineStr">
        <is>
          <t>NominalDiameter_S-ALL</t>
        </is>
      </c>
      <c r="V1" t="inlineStr">
        <is>
          <t>NominalUnit_S-ALL</t>
        </is>
      </c>
      <c r="W1" t="inlineStr">
        <is>
          <t>MatchingPipeOd_S-ALL</t>
        </is>
      </c>
      <c r="X1" t="inlineStr">
        <is>
          <t>EndType_S-ALL</t>
        </is>
      </c>
      <c r="Y1" t="inlineStr">
        <is>
          <t>Facing_S-ALL</t>
        </is>
      </c>
      <c r="Z1" t="inlineStr">
        <is>
          <t>PressureClass_S-ALL</t>
        </is>
      </c>
      <c r="AA1" t="inlineStr">
        <is>
          <t>Schedule_S-ALL</t>
        </is>
      </c>
      <c r="AB1" t="inlineStr">
        <is>
          <t>WallThickness_S-ALL</t>
        </is>
      </c>
      <c r="AC1" t="inlineStr">
        <is>
          <t>EngagementLength_S-ALL</t>
        </is>
      </c>
      <c r="AD1" t="inlineStr">
        <is>
          <t>LengthUnit_S-ALL</t>
        </is>
      </c>
      <c r="AE1" t="inlineStr">
        <is>
          <t>ShortDescription</t>
        </is>
      </c>
      <c r="AF1" t="inlineStr">
        <is>
          <t>CompatibleStandard</t>
        </is>
      </c>
      <c r="AG1" t="inlineStr">
        <is>
          <t>DesignStd</t>
        </is>
      </c>
      <c r="AH1" t="inlineStr">
        <is>
          <t>PartFamilyLongDesc</t>
        </is>
      </c>
      <c r="AI1" t="inlineStr">
        <is>
          <t>PartSizeLongDesc</t>
        </is>
      </c>
      <c r="AJ1" t="inlineStr">
        <is>
          <t>Material</t>
        </is>
      </c>
      <c r="AK1" t="inlineStr">
        <is>
          <t>MaterialCode</t>
        </is>
      </c>
      <c r="AL1" t="inlineStr">
        <is>
          <t>Weight</t>
        </is>
      </c>
      <c r="AM1" t="inlineStr">
        <is>
          <t>WeightUnit</t>
        </is>
      </c>
      <c r="AN1" t="inlineStr">
        <is>
          <t>PartFamilyId</t>
        </is>
      </c>
      <c r="AO1" t="inlineStr">
        <is>
          <t>CatalogPartFamilyId</t>
        </is>
      </c>
      <c r="AP1" t="inlineStr">
        <is>
          <t>ConnectionPortCount</t>
        </is>
      </c>
      <c r="AQ1" t="inlineStr">
        <is>
          <t>PartCategory</t>
        </is>
      </c>
      <c r="AR1" t="inlineStr">
        <is>
          <t>PnPClassName</t>
        </is>
      </c>
      <c r="AS1" t="inlineStr">
        <is>
          <t>SKEY</t>
        </is>
      </c>
      <c r="AT1" t="inlineStr">
        <is>
          <t>TYPE</t>
        </is>
      </c>
      <c r="AU1" t="inlineStr">
        <is>
          <t>ContentIsoSymbolDefinition</t>
        </is>
      </c>
    </row>
    <row r="2">
      <c r="A2" t="inlineStr">
        <is>
          <t>Preview</t>
        </is>
      </c>
      <c r="B2" t="inlineStr">
        <is>
          <t>Sizes</t>
        </is>
      </c>
      <c r="C2" t="inlineStr">
        <is>
          <t>Shape Name</t>
        </is>
      </c>
      <c r="D2" t="inlineStr">
        <is>
          <t>Script Path</t>
        </is>
      </c>
      <c r="E2" t="inlineStr">
        <is>
          <t>DN</t>
        </is>
      </c>
      <c r="F2" t="inlineStr">
        <is>
          <t>D1</t>
        </is>
      </c>
      <c r="G2" t="inlineStr">
        <is>
          <t>D2</t>
        </is>
      </c>
      <c r="H2" t="inlineStr">
        <is>
          <t>L</t>
        </is>
      </c>
      <c r="I2" t="inlineStr">
        <is>
          <t>LS</t>
        </is>
      </c>
      <c r="J2" t="inlineStr">
        <is>
          <t>H1</t>
        </is>
      </c>
      <c r="K2" t="inlineStr">
        <is>
          <t>H2</t>
        </is>
      </c>
      <c r="L2" t="inlineStr">
        <is>
          <t>D3</t>
        </is>
      </c>
      <c r="M2" t="inlineStr">
        <is>
          <t>W1</t>
        </is>
      </c>
      <c r="N2" t="inlineStr">
        <is>
          <t>W2</t>
        </is>
      </c>
      <c r="O2" t="inlineStr">
        <is>
          <t>OF</t>
        </is>
      </c>
      <c r="P2" t="inlineStr">
        <is>
          <t>B1</t>
        </is>
      </c>
      <c r="Q2" t="inlineStr">
        <is>
          <t>B2</t>
        </is>
      </c>
      <c r="R2" t="inlineStr">
        <is>
          <t>ContentGeometryParamDefinition</t>
        </is>
      </c>
      <c r="S2" t="inlineStr">
        <is>
          <t>Size Record Id_S-ALL</t>
        </is>
      </c>
      <c r="T2" t="inlineStr">
        <is>
          <t>Port Name_S-ALL</t>
        </is>
      </c>
      <c r="U2" t="inlineStr">
        <is>
          <t>Nominal Diameter_S-ALL</t>
        </is>
      </c>
      <c r="V2" t="inlineStr">
        <is>
          <t>Nominal Unit_S-ALL</t>
        </is>
      </c>
      <c r="W2" t="inlineStr">
        <is>
          <t>Matching Pipe OD_S-ALL</t>
        </is>
      </c>
      <c r="X2" t="inlineStr">
        <is>
          <t>End Type_S-ALL</t>
        </is>
      </c>
      <c r="Y2" t="inlineStr">
        <is>
          <t>Facing_S-ALL</t>
        </is>
      </c>
      <c r="Z2" t="inlineStr">
        <is>
          <t>Pressure Class_S-ALL</t>
        </is>
      </c>
      <c r="AA2" t="inlineStr">
        <is>
          <t>Schedule_S-ALL</t>
        </is>
      </c>
      <c r="AB2" t="inlineStr">
        <is>
          <t>Wall Thickness_S-ALL</t>
        </is>
      </c>
      <c r="AC2" t="inlineStr">
        <is>
          <t>Engagement Length_S-ALL</t>
        </is>
      </c>
      <c r="AD2" t="inlineStr">
        <is>
          <t>Port Unit_S-ALL</t>
        </is>
      </c>
      <c r="AE2" t="inlineStr">
        <is>
          <t>Short Description</t>
        </is>
      </c>
      <c r="AF2" t="inlineStr">
        <is>
          <t>Compatible Standard</t>
        </is>
      </c>
      <c r="AG2" t="inlineStr">
        <is>
          <t>Design Std</t>
        </is>
      </c>
      <c r="AH2" t="inlineStr">
        <is>
          <t>Long Description (Family)</t>
        </is>
      </c>
      <c r="AI2" t="inlineStr">
        <is>
          <t>Long Description (Size)</t>
        </is>
      </c>
      <c r="AJ2" t="inlineStr">
        <is>
          <t>Material</t>
        </is>
      </c>
      <c r="AK2" t="inlineStr">
        <is>
          <t>Material Code</t>
        </is>
      </c>
      <c r="AL2" t="inlineStr">
        <is>
          <t>Weight</t>
        </is>
      </c>
      <c r="AM2" t="inlineStr">
        <is>
          <t>Weight Unit</t>
        </is>
      </c>
      <c r="AN2" t="inlineStr">
        <is>
          <t>PartFamilyId</t>
        </is>
      </c>
      <c r="AO2" t="inlineStr">
        <is>
          <t>CatalogPartFamilyId</t>
        </is>
      </c>
      <c r="AP2" t="inlineStr">
        <is>
          <t>ConnectionPortCount</t>
        </is>
      </c>
      <c r="AQ2" t="inlineStr">
        <is>
          <t>PartCategory</t>
        </is>
      </c>
      <c r="AR2" t="inlineStr">
        <is>
          <t>PnPClassName</t>
        </is>
      </c>
      <c r="AS2" t="inlineStr">
        <is>
          <t>SKEY</t>
        </is>
      </c>
      <c r="AT2" t="inlineStr">
        <is>
          <t>TYPE</t>
        </is>
      </c>
      <c r="AU2" t="inlineStr">
        <is>
          <t>ContentIsoSymbolDefinition</t>
        </is>
      </c>
    </row>
    <row r="3">
      <c r="C3" t="inlineStr">
        <is>
          <t>CUST_VALVE_BV_CL150</t>
        </is>
      </c>
      <c r="R3" t="inlineStr">
        <is>
          <t>D1,D2,L,LS,H1,H2,D3,W1,W2,OF,B1,B2,</t>
        </is>
      </c>
      <c r="T3" t="inlineStr">
        <is>
          <t>ALL</t>
        </is>
      </c>
      <c r="V3" t="inlineStr">
        <is>
          <t>mm</t>
        </is>
      </c>
      <c r="X3" t="inlineStr">
        <is>
          <t>BV</t>
        </is>
      </c>
      <c r="Z3" t="inlineStr">
        <is>
          <t>150</t>
        </is>
      </c>
      <c r="AA3" t="inlineStr">
        <is>
          <t>40</t>
        </is>
      </c>
      <c r="AD3" t="inlineStr">
        <is>
          <t>mm</t>
        </is>
      </c>
      <c r="AE3" t="inlineStr">
        <is>
          <t>Butt-weld valve</t>
        </is>
      </c>
      <c r="AF3" t="inlineStr">
        <is>
          <t>ASME B16.10 / manufacturer</t>
        </is>
      </c>
      <c r="AG3" t="inlineStr">
        <is>
          <t>Custom</t>
        </is>
      </c>
      <c r="AH3" t="inlineStr">
        <is>
          <t>Valve. Butt-weld CL150 CS — ball/plug BW ends</t>
        </is>
      </c>
      <c r="AJ3" t="inlineStr">
        <is>
          <t>CS</t>
        </is>
      </c>
      <c r="AP3" t="inlineStr">
        <is>
          <t>2</t>
        </is>
      </c>
      <c r="AQ3" t="inlineStr">
        <is>
          <t>Valves</t>
        </is>
      </c>
      <c r="AR3" t="inlineStr">
        <is>
          <t>Valve</t>
        </is>
      </c>
      <c r="AS3" t="inlineStr">
        <is>
          <t>VBWG</t>
        </is>
      </c>
      <c r="AT3" t="inlineStr">
        <is>
          <t>VALVE</t>
        </is>
      </c>
      <c r="AU3" t="inlineStr">
        <is>
          <t>TYPE=VALVE,SKEY=VBWG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Previews</t>
        </is>
      </c>
      <c r="B1" t="inlineStr">
        <is>
          <t>Sizes</t>
        </is>
      </c>
      <c r="C1" t="inlineStr">
        <is>
          <t>ShapeName</t>
        </is>
      </c>
      <c r="D1" t="inlineStr">
        <is>
          <t>ScriptPath</t>
        </is>
      </c>
      <c r="E1" t="inlineStr">
        <is>
          <t>DN</t>
        </is>
      </c>
      <c r="F1" t="inlineStr">
        <is>
          <t>D1</t>
        </is>
      </c>
      <c r="G1" t="inlineStr">
        <is>
          <t>D2</t>
        </is>
      </c>
      <c r="H1" t="inlineStr">
        <is>
          <t>L</t>
        </is>
      </c>
      <c r="I1" t="inlineStr">
        <is>
          <t>LS</t>
        </is>
      </c>
      <c r="J1" t="inlineStr">
        <is>
          <t>H1</t>
        </is>
      </c>
      <c r="K1" t="inlineStr">
        <is>
          <t>H2</t>
        </is>
      </c>
      <c r="L1" t="inlineStr">
        <is>
          <t>D3</t>
        </is>
      </c>
      <c r="M1" t="inlineStr">
        <is>
          <t>W1</t>
        </is>
      </c>
      <c r="N1" t="inlineStr">
        <is>
          <t>W2</t>
        </is>
      </c>
      <c r="O1" t="inlineStr">
        <is>
          <t>OF</t>
        </is>
      </c>
      <c r="P1" t="inlineStr">
        <is>
          <t>L1</t>
        </is>
      </c>
      <c r="Q1" t="inlineStr">
        <is>
          <t>L2</t>
        </is>
      </c>
      <c r="R1" t="inlineStr">
        <is>
          <t>I1</t>
        </is>
      </c>
      <c r="S1" t="inlineStr">
        <is>
          <t>I2</t>
        </is>
      </c>
      <c r="T1" t="inlineStr">
        <is>
          <t>B1</t>
        </is>
      </c>
      <c r="U1" t="inlineStr">
        <is>
          <t>B2</t>
        </is>
      </c>
      <c r="V1" t="inlineStr">
        <is>
          <t>ContentGeometryParamDefinition</t>
        </is>
      </c>
      <c r="W1" t="inlineStr">
        <is>
          <t>SizeRecordId_S-ALL</t>
        </is>
      </c>
      <c r="X1" t="inlineStr">
        <is>
          <t>PortName_S-ALL</t>
        </is>
      </c>
      <c r="Y1" t="inlineStr">
        <is>
          <t>NominalDiameter_S-ALL</t>
        </is>
      </c>
      <c r="Z1" t="inlineStr">
        <is>
          <t>NominalUnit_S-ALL</t>
        </is>
      </c>
      <c r="AA1" t="inlineStr">
        <is>
          <t>MatchingPipeOd_S-ALL</t>
        </is>
      </c>
      <c r="AB1" t="inlineStr">
        <is>
          <t>EndType_S-ALL</t>
        </is>
      </c>
      <c r="AC1" t="inlineStr">
        <is>
          <t>Facing_S-ALL</t>
        </is>
      </c>
      <c r="AD1" t="inlineStr">
        <is>
          <t>PressureClass_S-ALL</t>
        </is>
      </c>
      <c r="AE1" t="inlineStr">
        <is>
          <t>Schedule_S-ALL</t>
        </is>
      </c>
      <c r="AF1" t="inlineStr">
        <is>
          <t>WallThickness_S-ALL</t>
        </is>
      </c>
      <c r="AG1" t="inlineStr">
        <is>
          <t>EngagementLength_S-ALL</t>
        </is>
      </c>
      <c r="AH1" t="inlineStr">
        <is>
          <t>LengthUnit_S-ALL</t>
        </is>
      </c>
      <c r="AI1" t="inlineStr">
        <is>
          <t>ShortDescription</t>
        </is>
      </c>
      <c r="AJ1" t="inlineStr">
        <is>
          <t>CompatibleStandard</t>
        </is>
      </c>
      <c r="AK1" t="inlineStr">
        <is>
          <t>DesignStd</t>
        </is>
      </c>
      <c r="AL1" t="inlineStr">
        <is>
          <t>PartFamilyLongDesc</t>
        </is>
      </c>
      <c r="AM1" t="inlineStr">
        <is>
          <t>PartSizeLongDesc</t>
        </is>
      </c>
      <c r="AN1" t="inlineStr">
        <is>
          <t>Material</t>
        </is>
      </c>
      <c r="AO1" t="inlineStr">
        <is>
          <t>MaterialCode</t>
        </is>
      </c>
      <c r="AP1" t="inlineStr">
        <is>
          <t>Weight</t>
        </is>
      </c>
      <c r="AQ1" t="inlineStr">
        <is>
          <t>WeightUnit</t>
        </is>
      </c>
      <c r="AR1" t="inlineStr">
        <is>
          <t>PartFamilyId</t>
        </is>
      </c>
      <c r="AS1" t="inlineStr">
        <is>
          <t>CatalogPartFamilyId</t>
        </is>
      </c>
      <c r="AT1" t="inlineStr">
        <is>
          <t>ConnectionPortCount</t>
        </is>
      </c>
      <c r="AU1" t="inlineStr">
        <is>
          <t>PartCategory</t>
        </is>
      </c>
      <c r="AV1" t="inlineStr">
        <is>
          <t>PnPClassName</t>
        </is>
      </c>
      <c r="AW1" t="inlineStr">
        <is>
          <t>SKEY</t>
        </is>
      </c>
      <c r="AX1" t="inlineStr">
        <is>
          <t>TYPE</t>
        </is>
      </c>
      <c r="AY1" t="inlineStr">
        <is>
          <t>ContentIsoSymbolDefinition</t>
        </is>
      </c>
    </row>
    <row r="2">
      <c r="A2" t="inlineStr">
        <is>
          <t>Preview</t>
        </is>
      </c>
      <c r="B2" t="inlineStr">
        <is>
          <t>Sizes</t>
        </is>
      </c>
      <c r="C2" t="inlineStr">
        <is>
          <t>Shape Name</t>
        </is>
      </c>
      <c r="D2" t="inlineStr">
        <is>
          <t>Script Path</t>
        </is>
      </c>
      <c r="E2" t="inlineStr">
        <is>
          <t>DN</t>
        </is>
      </c>
      <c r="F2" t="inlineStr">
        <is>
          <t>D1</t>
        </is>
      </c>
      <c r="G2" t="inlineStr">
        <is>
          <t>D2</t>
        </is>
      </c>
      <c r="H2" t="inlineStr">
        <is>
          <t>L</t>
        </is>
      </c>
      <c r="I2" t="inlineStr">
        <is>
          <t>LS</t>
        </is>
      </c>
      <c r="J2" t="inlineStr">
        <is>
          <t>H1</t>
        </is>
      </c>
      <c r="K2" t="inlineStr">
        <is>
          <t>H2</t>
        </is>
      </c>
      <c r="L2" t="inlineStr">
        <is>
          <t>D3</t>
        </is>
      </c>
      <c r="M2" t="inlineStr">
        <is>
          <t>W1</t>
        </is>
      </c>
      <c r="N2" t="inlineStr">
        <is>
          <t>W2</t>
        </is>
      </c>
      <c r="O2" t="inlineStr">
        <is>
          <t>OF</t>
        </is>
      </c>
      <c r="P2" t="inlineStr">
        <is>
          <t>L1</t>
        </is>
      </c>
      <c r="Q2" t="inlineStr">
        <is>
          <t>L2</t>
        </is>
      </c>
      <c r="R2" t="inlineStr">
        <is>
          <t>I1</t>
        </is>
      </c>
      <c r="S2" t="inlineStr">
        <is>
          <t>I2</t>
        </is>
      </c>
      <c r="T2" t="inlineStr">
        <is>
          <t>B1</t>
        </is>
      </c>
      <c r="U2" t="inlineStr">
        <is>
          <t>B2</t>
        </is>
      </c>
      <c r="V2" t="inlineStr">
        <is>
          <t>ContentGeometryParamDefinition</t>
        </is>
      </c>
      <c r="W2" t="inlineStr">
        <is>
          <t>Size Record Id_S-ALL</t>
        </is>
      </c>
      <c r="X2" t="inlineStr">
        <is>
          <t>Port Name_S-ALL</t>
        </is>
      </c>
      <c r="Y2" t="inlineStr">
        <is>
          <t>Nominal Diameter_S-ALL</t>
        </is>
      </c>
      <c r="Z2" t="inlineStr">
        <is>
          <t>Nominal Unit_S-ALL</t>
        </is>
      </c>
      <c r="AA2" t="inlineStr">
        <is>
          <t>Matching Pipe OD_S-ALL</t>
        </is>
      </c>
      <c r="AB2" t="inlineStr">
        <is>
          <t>End Type_S-ALL</t>
        </is>
      </c>
      <c r="AC2" t="inlineStr">
        <is>
          <t>Facing_S-ALL</t>
        </is>
      </c>
      <c r="AD2" t="inlineStr">
        <is>
          <t>Pressure Class_S-ALL</t>
        </is>
      </c>
      <c r="AE2" t="inlineStr">
        <is>
          <t>Schedule_S-ALL</t>
        </is>
      </c>
      <c r="AF2" t="inlineStr">
        <is>
          <t>Wall Thickness_S-ALL</t>
        </is>
      </c>
      <c r="AG2" t="inlineStr">
        <is>
          <t>Engagement Length_S-ALL</t>
        </is>
      </c>
      <c r="AH2" t="inlineStr">
        <is>
          <t>Port Unit_S-ALL</t>
        </is>
      </c>
      <c r="AI2" t="inlineStr">
        <is>
          <t>Short Description</t>
        </is>
      </c>
      <c r="AJ2" t="inlineStr">
        <is>
          <t>Compatible Standard</t>
        </is>
      </c>
      <c r="AK2" t="inlineStr">
        <is>
          <t>Design Std</t>
        </is>
      </c>
      <c r="AL2" t="inlineStr">
        <is>
          <t>Long Description (Family)</t>
        </is>
      </c>
      <c r="AM2" t="inlineStr">
        <is>
          <t>Long Description (Size)</t>
        </is>
      </c>
      <c r="AN2" t="inlineStr">
        <is>
          <t>Material</t>
        </is>
      </c>
      <c r="AO2" t="inlineStr">
        <is>
          <t>Material Code</t>
        </is>
      </c>
      <c r="AP2" t="inlineStr">
        <is>
          <t>Weight</t>
        </is>
      </c>
      <c r="AQ2" t="inlineStr">
        <is>
          <t>Weight Unit</t>
        </is>
      </c>
      <c r="AR2" t="inlineStr">
        <is>
          <t>PartFamilyId</t>
        </is>
      </c>
      <c r="AS2" t="inlineStr">
        <is>
          <t>CatalogPartFamilyId</t>
        </is>
      </c>
      <c r="AT2" t="inlineStr">
        <is>
          <t>ConnectionPortCount</t>
        </is>
      </c>
      <c r="AU2" t="inlineStr">
        <is>
          <t>PartCategory</t>
        </is>
      </c>
      <c r="AV2" t="inlineStr">
        <is>
          <t>PnPClassName</t>
        </is>
      </c>
      <c r="AW2" t="inlineStr">
        <is>
          <t>SKEY</t>
        </is>
      </c>
      <c r="AX2" t="inlineStr">
        <is>
          <t>TYPE</t>
        </is>
      </c>
      <c r="AY2" t="inlineStr">
        <is>
          <t>ContentIsoSymbolDefinition</t>
        </is>
      </c>
    </row>
    <row r="3">
      <c r="C3" t="inlineStr">
        <is>
          <t>CUST_VALVE_SW_CL3000</t>
        </is>
      </c>
      <c r="V3" t="inlineStr">
        <is>
          <t>D1,D2,L,LS,H1,H2,D3,W1,W2,OF,L1,L2,I1,I2,B1,B2,</t>
        </is>
      </c>
      <c r="X3" t="inlineStr">
        <is>
          <t>ALL</t>
        </is>
      </c>
      <c r="Z3" t="inlineStr">
        <is>
          <t>mm</t>
        </is>
      </c>
      <c r="AB3" t="inlineStr">
        <is>
          <t>SW</t>
        </is>
      </c>
      <c r="AD3" t="inlineStr">
        <is>
          <t>3000</t>
        </is>
      </c>
      <c r="AH3" t="inlineStr">
        <is>
          <t>mm</t>
        </is>
      </c>
      <c r="AI3" t="inlineStr">
        <is>
          <t>Socket-weld valve</t>
        </is>
      </c>
      <c r="AJ3" t="inlineStr">
        <is>
          <t>ASME B16.11 / manufacturer</t>
        </is>
      </c>
      <c r="AK3" t="inlineStr">
        <is>
          <t>Custom</t>
        </is>
      </c>
      <c r="AL3" t="inlineStr">
        <is>
          <t>Valve. Socket-weld CL3000 CS</t>
        </is>
      </c>
      <c r="AN3" t="inlineStr">
        <is>
          <t>CS</t>
        </is>
      </c>
      <c r="AT3" t="inlineStr">
        <is>
          <t>2</t>
        </is>
      </c>
      <c r="AU3" t="inlineStr">
        <is>
          <t>Valves</t>
        </is>
      </c>
      <c r="AV3" t="inlineStr">
        <is>
          <t>Valve</t>
        </is>
      </c>
      <c r="AW3" t="inlineStr">
        <is>
          <t>VSWG</t>
        </is>
      </c>
      <c r="AX3" t="inlineStr">
        <is>
          <t>VALVE</t>
        </is>
      </c>
      <c r="AY3" t="inlineStr">
        <is>
          <t>TYPE=VALVE,SKEY=VSWG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Previews</t>
        </is>
      </c>
      <c r="B1" t="inlineStr">
        <is>
          <t>Sizes</t>
        </is>
      </c>
      <c r="C1" t="inlineStr">
        <is>
          <t>ShapeName</t>
        </is>
      </c>
      <c r="D1" t="inlineStr">
        <is>
          <t>ScriptPath</t>
        </is>
      </c>
      <c r="E1" t="inlineStr">
        <is>
          <t>DN</t>
        </is>
      </c>
      <c r="F1" t="inlineStr">
        <is>
          <t>D1</t>
        </is>
      </c>
      <c r="G1" t="inlineStr">
        <is>
          <t>D2</t>
        </is>
      </c>
      <c r="H1" t="inlineStr">
        <is>
          <t>D3</t>
        </is>
      </c>
      <c r="I1" t="inlineStr">
        <is>
          <t>L1</t>
        </is>
      </c>
      <c r="J1" t="inlineStr">
        <is>
          <t>L2</t>
        </is>
      </c>
      <c r="K1" t="inlineStr">
        <is>
          <t>L3</t>
        </is>
      </c>
      <c r="L1" t="inlineStr">
        <is>
          <t>H1</t>
        </is>
      </c>
      <c r="M1" t="inlineStr">
        <is>
          <t>H2</t>
        </is>
      </c>
      <c r="N1" t="inlineStr">
        <is>
          <t>H3</t>
        </is>
      </c>
      <c r="O1" t="inlineStr">
        <is>
          <t>W1</t>
        </is>
      </c>
      <c r="P1" t="inlineStr">
        <is>
          <t>W2</t>
        </is>
      </c>
      <c r="Q1" t="inlineStr">
        <is>
          <t>W3</t>
        </is>
      </c>
      <c r="R1" t="inlineStr">
        <is>
          <t>A</t>
        </is>
      </c>
      <c r="S1" t="inlineStr">
        <is>
          <t>OF</t>
        </is>
      </c>
      <c r="T1" t="inlineStr">
        <is>
          <t>B1</t>
        </is>
      </c>
      <c r="U1" t="inlineStr">
        <is>
          <t>B2</t>
        </is>
      </c>
      <c r="V1" t="inlineStr">
        <is>
          <t>B3</t>
        </is>
      </c>
      <c r="W1" t="inlineStr">
        <is>
          <t>P</t>
        </is>
      </c>
      <c r="X1" t="inlineStr">
        <is>
          <t>ContentGeometryParamDefinition</t>
        </is>
      </c>
      <c r="Y1" t="inlineStr">
        <is>
          <t>SizeRecordId_S-ALL</t>
        </is>
      </c>
      <c r="Z1" t="inlineStr">
        <is>
          <t>PortName_S-ALL</t>
        </is>
      </c>
      <c r="AA1" t="inlineStr">
        <is>
          <t>NominalDiameter_S-ALL</t>
        </is>
      </c>
      <c r="AB1" t="inlineStr">
        <is>
          <t>NominalUnit_S-ALL</t>
        </is>
      </c>
      <c r="AC1" t="inlineStr">
        <is>
          <t>MatchingPipeOd_S-ALL</t>
        </is>
      </c>
      <c r="AD1" t="inlineStr">
        <is>
          <t>EndType_S-ALL</t>
        </is>
      </c>
      <c r="AE1" t="inlineStr">
        <is>
          <t>Facing_S-ALL</t>
        </is>
      </c>
      <c r="AF1" t="inlineStr">
        <is>
          <t>PressureClass_S-ALL</t>
        </is>
      </c>
      <c r="AG1" t="inlineStr">
        <is>
          <t>Schedule_S-ALL</t>
        </is>
      </c>
      <c r="AH1" t="inlineStr">
        <is>
          <t>WallThickness_S-ALL</t>
        </is>
      </c>
      <c r="AI1" t="inlineStr">
        <is>
          <t>EngagementLength_S-ALL</t>
        </is>
      </c>
      <c r="AJ1" t="inlineStr">
        <is>
          <t>LengthUnit_S-ALL</t>
        </is>
      </c>
      <c r="AK1" t="inlineStr">
        <is>
          <t>ShortDescription</t>
        </is>
      </c>
      <c r="AL1" t="inlineStr">
        <is>
          <t>CompatibleStandard</t>
        </is>
      </c>
      <c r="AM1" t="inlineStr">
        <is>
          <t>DesignStd</t>
        </is>
      </c>
      <c r="AN1" t="inlineStr">
        <is>
          <t>PartFamilyLongDesc</t>
        </is>
      </c>
      <c r="AO1" t="inlineStr">
        <is>
          <t>PartSizeLongDesc</t>
        </is>
      </c>
      <c r="AP1" t="inlineStr">
        <is>
          <t>Material</t>
        </is>
      </c>
      <c r="AQ1" t="inlineStr">
        <is>
          <t>MaterialCode</t>
        </is>
      </c>
      <c r="AR1" t="inlineStr">
        <is>
          <t>Weight</t>
        </is>
      </c>
      <c r="AS1" t="inlineStr">
        <is>
          <t>WeightUnit</t>
        </is>
      </c>
      <c r="AT1" t="inlineStr">
        <is>
          <t>PartFamilyId</t>
        </is>
      </c>
      <c r="AU1" t="inlineStr">
        <is>
          <t>CatalogPartFamilyId</t>
        </is>
      </c>
      <c r="AV1" t="inlineStr">
        <is>
          <t>ConnectionPortCount</t>
        </is>
      </c>
      <c r="AW1" t="inlineStr">
        <is>
          <t>PartCategory</t>
        </is>
      </c>
      <c r="AX1" t="inlineStr">
        <is>
          <t>PnPClassName</t>
        </is>
      </c>
      <c r="AY1" t="inlineStr">
        <is>
          <t>SKEY</t>
        </is>
      </c>
      <c r="AZ1" t="inlineStr">
        <is>
          <t>TYPE</t>
        </is>
      </c>
      <c r="BA1" t="inlineStr">
        <is>
          <t>ContentIsoSymbolDefinition</t>
        </is>
      </c>
    </row>
    <row r="2">
      <c r="A2" t="inlineStr">
        <is>
          <t>Preview</t>
        </is>
      </c>
      <c r="B2" t="inlineStr">
        <is>
          <t>Sizes</t>
        </is>
      </c>
      <c r="C2" t="inlineStr">
        <is>
          <t>Shape Name</t>
        </is>
      </c>
      <c r="D2" t="inlineStr">
        <is>
          <t>Script Path</t>
        </is>
      </c>
      <c r="E2" t="inlineStr">
        <is>
          <t>DN</t>
        </is>
      </c>
      <c r="F2" t="inlineStr">
        <is>
          <t>D1</t>
        </is>
      </c>
      <c r="G2" t="inlineStr">
        <is>
          <t>D2</t>
        </is>
      </c>
      <c r="H2" t="inlineStr">
        <is>
          <t>D3</t>
        </is>
      </c>
      <c r="I2" t="inlineStr">
        <is>
          <t>L1</t>
        </is>
      </c>
      <c r="J2" t="inlineStr">
        <is>
          <t>L2</t>
        </is>
      </c>
      <c r="K2" t="inlineStr">
        <is>
          <t>L3</t>
        </is>
      </c>
      <c r="L2" t="inlineStr">
        <is>
          <t>H1</t>
        </is>
      </c>
      <c r="M2" t="inlineStr">
        <is>
          <t>H2</t>
        </is>
      </c>
      <c r="N2" t="inlineStr">
        <is>
          <t>H3</t>
        </is>
      </c>
      <c r="O2" t="inlineStr">
        <is>
          <t>W1</t>
        </is>
      </c>
      <c r="P2" t="inlineStr">
        <is>
          <t>W2</t>
        </is>
      </c>
      <c r="Q2" t="inlineStr">
        <is>
          <t>W3</t>
        </is>
      </c>
      <c r="R2" t="inlineStr">
        <is>
          <t>A</t>
        </is>
      </c>
      <c r="S2" t="inlineStr">
        <is>
          <t>OF</t>
        </is>
      </c>
      <c r="T2" t="inlineStr">
        <is>
          <t>B1</t>
        </is>
      </c>
      <c r="U2" t="inlineStr">
        <is>
          <t>B2</t>
        </is>
      </c>
      <c r="V2" t="inlineStr">
        <is>
          <t>B3</t>
        </is>
      </c>
      <c r="W2" t="inlineStr">
        <is>
          <t>P</t>
        </is>
      </c>
      <c r="X2" t="inlineStr">
        <is>
          <t>ContentGeometryParamDefinition</t>
        </is>
      </c>
      <c r="Y2" t="inlineStr">
        <is>
          <t>Size Record Id_S-ALL</t>
        </is>
      </c>
      <c r="Z2" t="inlineStr">
        <is>
          <t>Port Name_S-ALL</t>
        </is>
      </c>
      <c r="AA2" t="inlineStr">
        <is>
          <t>Nominal Diameter_S-ALL</t>
        </is>
      </c>
      <c r="AB2" t="inlineStr">
        <is>
          <t>Nominal Unit_S-ALL</t>
        </is>
      </c>
      <c r="AC2" t="inlineStr">
        <is>
          <t>Matching Pipe OD_S-ALL</t>
        </is>
      </c>
      <c r="AD2" t="inlineStr">
        <is>
          <t>End Type_S-ALL</t>
        </is>
      </c>
      <c r="AE2" t="inlineStr">
        <is>
          <t>Facing_S-ALL</t>
        </is>
      </c>
      <c r="AF2" t="inlineStr">
        <is>
          <t>Pressure Class_S-ALL</t>
        </is>
      </c>
      <c r="AG2" t="inlineStr">
        <is>
          <t>Schedule_S-ALL</t>
        </is>
      </c>
      <c r="AH2" t="inlineStr">
        <is>
          <t>Wall Thickness_S-ALL</t>
        </is>
      </c>
      <c r="AI2" t="inlineStr">
        <is>
          <t>Engagement Length_S-ALL</t>
        </is>
      </c>
      <c r="AJ2" t="inlineStr">
        <is>
          <t>Port Unit_S-ALL</t>
        </is>
      </c>
      <c r="AK2" t="inlineStr">
        <is>
          <t>Short Description</t>
        </is>
      </c>
      <c r="AL2" t="inlineStr">
        <is>
          <t>Compatible Standard</t>
        </is>
      </c>
      <c r="AM2" t="inlineStr">
        <is>
          <t>Design Std</t>
        </is>
      </c>
      <c r="AN2" t="inlineStr">
        <is>
          <t>Long Description (Family)</t>
        </is>
      </c>
      <c r="AO2" t="inlineStr">
        <is>
          <t>Long Description (Size)</t>
        </is>
      </c>
      <c r="AP2" t="inlineStr">
        <is>
          <t>Material</t>
        </is>
      </c>
      <c r="AQ2" t="inlineStr">
        <is>
          <t>Material Code</t>
        </is>
      </c>
      <c r="AR2" t="inlineStr">
        <is>
          <t>Weight</t>
        </is>
      </c>
      <c r="AS2" t="inlineStr">
        <is>
          <t>Weight Unit</t>
        </is>
      </c>
      <c r="AT2" t="inlineStr">
        <is>
          <t>PartFamilyId</t>
        </is>
      </c>
      <c r="AU2" t="inlineStr">
        <is>
          <t>CatalogPartFamilyId</t>
        </is>
      </c>
      <c r="AV2" t="inlineStr">
        <is>
          <t>ConnectionPortCount</t>
        </is>
      </c>
      <c r="AW2" t="inlineStr">
        <is>
          <t>PartCategory</t>
        </is>
      </c>
      <c r="AX2" t="inlineStr">
        <is>
          <t>PnPClassName</t>
        </is>
      </c>
      <c r="AY2" t="inlineStr">
        <is>
          <t>SKEY</t>
        </is>
      </c>
      <c r="AZ2" t="inlineStr">
        <is>
          <t>TYPE</t>
        </is>
      </c>
      <c r="BA2" t="inlineStr">
        <is>
          <t>ContentIsoSymbolDefinition</t>
        </is>
      </c>
    </row>
    <row r="3">
      <c r="C3" t="inlineStr">
        <is>
          <t>CUST_VALVE_3WAY</t>
        </is>
      </c>
      <c r="X3" t="inlineStr">
        <is>
          <t>D1,D2,D3,L1,L2,L3,H1,H2,H3,W1,W2,W3,A,OF,B1,B2,B3,P,</t>
        </is>
      </c>
      <c r="Z3" t="inlineStr">
        <is>
          <t>ALL</t>
        </is>
      </c>
      <c r="AB3" t="inlineStr">
        <is>
          <t>mm</t>
        </is>
      </c>
      <c r="AD3" t="inlineStr">
        <is>
          <t>FL</t>
        </is>
      </c>
      <c r="AE3" t="inlineStr">
        <is>
          <t>RF</t>
        </is>
      </c>
      <c r="AF3" t="inlineStr">
        <is>
          <t>150</t>
        </is>
      </c>
      <c r="AJ3" t="inlineStr">
        <is>
          <t>mm</t>
        </is>
      </c>
      <c r="AK3" t="inlineStr">
        <is>
          <t>3-way valve</t>
        </is>
      </c>
      <c r="AL3" t="inlineStr">
        <is>
          <t>Manufacturer</t>
        </is>
      </c>
      <c r="AM3" t="inlineStr">
        <is>
          <t>Custom</t>
        </is>
      </c>
      <c r="AN3" t="inlineStr">
        <is>
          <t>Valve. 3-way multi-port CS</t>
        </is>
      </c>
      <c r="AP3" t="inlineStr">
        <is>
          <t>CS</t>
        </is>
      </c>
      <c r="AV3" t="inlineStr">
        <is>
          <t>3</t>
        </is>
      </c>
      <c r="AW3" t="inlineStr">
        <is>
          <t>Valves</t>
        </is>
      </c>
      <c r="AX3" t="inlineStr">
        <is>
          <t>Valve</t>
        </is>
      </c>
      <c r="AY3" t="inlineStr">
        <is>
          <t>V3WY</t>
        </is>
      </c>
      <c r="AZ3" t="inlineStr">
        <is>
          <t>VALVE</t>
        </is>
      </c>
      <c r="BA3" t="inlineStr">
        <is>
          <t>TYPE=VALVE,SKEY=V3WY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Previews</t>
        </is>
      </c>
      <c r="B1" t="inlineStr">
        <is>
          <t>Sizes</t>
        </is>
      </c>
      <c r="C1" t="inlineStr">
        <is>
          <t>ShapeName</t>
        </is>
      </c>
      <c r="D1" t="inlineStr">
        <is>
          <t>ScriptPath</t>
        </is>
      </c>
      <c r="E1" t="inlineStr">
        <is>
          <t>DN</t>
        </is>
      </c>
      <c r="F1" t="inlineStr">
        <is>
          <t>D1</t>
        </is>
      </c>
      <c r="G1" t="inlineStr">
        <is>
          <t>D2</t>
        </is>
      </c>
      <c r="H1" t="inlineStr">
        <is>
          <t>L1</t>
        </is>
      </c>
      <c r="I1" t="inlineStr">
        <is>
          <t>L2</t>
        </is>
      </c>
      <c r="J1" t="inlineStr">
        <is>
          <t>H1</t>
        </is>
      </c>
      <c r="K1" t="inlineStr">
        <is>
          <t>H2</t>
        </is>
      </c>
      <c r="L1" t="inlineStr">
        <is>
          <t>W1</t>
        </is>
      </c>
      <c r="M1" t="inlineStr">
        <is>
          <t>W2</t>
        </is>
      </c>
      <c r="N1" t="inlineStr">
        <is>
          <t>A</t>
        </is>
      </c>
      <c r="O1" t="inlineStr">
        <is>
          <t>OF</t>
        </is>
      </c>
      <c r="P1" t="inlineStr">
        <is>
          <t>B1</t>
        </is>
      </c>
      <c r="Q1" t="inlineStr">
        <is>
          <t>B2</t>
        </is>
      </c>
      <c r="R1" t="inlineStr">
        <is>
          <t>ContentGeometryParamDefinition</t>
        </is>
      </c>
      <c r="S1" t="inlineStr">
        <is>
          <t>SizeRecordId_S-ALL</t>
        </is>
      </c>
      <c r="T1" t="inlineStr">
        <is>
          <t>PortName_S-ALL</t>
        </is>
      </c>
      <c r="U1" t="inlineStr">
        <is>
          <t>NominalDiameter_S-ALL</t>
        </is>
      </c>
      <c r="V1" t="inlineStr">
        <is>
          <t>NominalUnit_S-ALL</t>
        </is>
      </c>
      <c r="W1" t="inlineStr">
        <is>
          <t>MatchingPipeOd_S-ALL</t>
        </is>
      </c>
      <c r="X1" t="inlineStr">
        <is>
          <t>EndType_S-ALL</t>
        </is>
      </c>
      <c r="Y1" t="inlineStr">
        <is>
          <t>Facing_S-ALL</t>
        </is>
      </c>
      <c r="Z1" t="inlineStr">
        <is>
          <t>PressureClass_S-ALL</t>
        </is>
      </c>
      <c r="AA1" t="inlineStr">
        <is>
          <t>Schedule_S-ALL</t>
        </is>
      </c>
      <c r="AB1" t="inlineStr">
        <is>
          <t>WallThickness_S-ALL</t>
        </is>
      </c>
      <c r="AC1" t="inlineStr">
        <is>
          <t>EngagementLength_S-ALL</t>
        </is>
      </c>
      <c r="AD1" t="inlineStr">
        <is>
          <t>LengthUnit_S-ALL</t>
        </is>
      </c>
      <c r="AE1" t="inlineStr">
        <is>
          <t>ShortDescription</t>
        </is>
      </c>
      <c r="AF1" t="inlineStr">
        <is>
          <t>CompatibleStandard</t>
        </is>
      </c>
      <c r="AG1" t="inlineStr">
        <is>
          <t>DesignStd</t>
        </is>
      </c>
      <c r="AH1" t="inlineStr">
        <is>
          <t>PartFamilyLongDesc</t>
        </is>
      </c>
      <c r="AI1" t="inlineStr">
        <is>
          <t>PartSizeLongDesc</t>
        </is>
      </c>
      <c r="AJ1" t="inlineStr">
        <is>
          <t>Material</t>
        </is>
      </c>
      <c r="AK1" t="inlineStr">
        <is>
          <t>MaterialCode</t>
        </is>
      </c>
      <c r="AL1" t="inlineStr">
        <is>
          <t>Weight</t>
        </is>
      </c>
      <c r="AM1" t="inlineStr">
        <is>
          <t>WeightUnit</t>
        </is>
      </c>
      <c r="AN1" t="inlineStr">
        <is>
          <t>PartFamilyId</t>
        </is>
      </c>
      <c r="AO1" t="inlineStr">
        <is>
          <t>CatalogPartFamilyId</t>
        </is>
      </c>
      <c r="AP1" t="inlineStr">
        <is>
          <t>ConnectionPortCount</t>
        </is>
      </c>
      <c r="AQ1" t="inlineStr">
        <is>
          <t>PartCategory</t>
        </is>
      </c>
      <c r="AR1" t="inlineStr">
        <is>
          <t>PnPClassName</t>
        </is>
      </c>
      <c r="AS1" t="inlineStr">
        <is>
          <t>SKEY</t>
        </is>
      </c>
      <c r="AT1" t="inlineStr">
        <is>
          <t>TYPE</t>
        </is>
      </c>
      <c r="AU1" t="inlineStr">
        <is>
          <t>ContentIsoSymbolDefinition</t>
        </is>
      </c>
    </row>
    <row r="2">
      <c r="A2" t="inlineStr">
        <is>
          <t>Preview</t>
        </is>
      </c>
      <c r="B2" t="inlineStr">
        <is>
          <t>Sizes</t>
        </is>
      </c>
      <c r="C2" t="inlineStr">
        <is>
          <t>Shape Name</t>
        </is>
      </c>
      <c r="D2" t="inlineStr">
        <is>
          <t>Script Path</t>
        </is>
      </c>
      <c r="E2" t="inlineStr">
        <is>
          <t>DN</t>
        </is>
      </c>
      <c r="F2" t="inlineStr">
        <is>
          <t>D1</t>
        </is>
      </c>
      <c r="G2" t="inlineStr">
        <is>
          <t>D2</t>
        </is>
      </c>
      <c r="H2" t="inlineStr">
        <is>
          <t>L1</t>
        </is>
      </c>
      <c r="I2" t="inlineStr">
        <is>
          <t>L2</t>
        </is>
      </c>
      <c r="J2" t="inlineStr">
        <is>
          <t>H1</t>
        </is>
      </c>
      <c r="K2" t="inlineStr">
        <is>
          <t>H2</t>
        </is>
      </c>
      <c r="L2" t="inlineStr">
        <is>
          <t>W1</t>
        </is>
      </c>
      <c r="M2" t="inlineStr">
        <is>
          <t>W2</t>
        </is>
      </c>
      <c r="N2" t="inlineStr">
        <is>
          <t>A</t>
        </is>
      </c>
      <c r="O2" t="inlineStr">
        <is>
          <t>OF</t>
        </is>
      </c>
      <c r="P2" t="inlineStr">
        <is>
          <t>B1</t>
        </is>
      </c>
      <c r="Q2" t="inlineStr">
        <is>
          <t>B2</t>
        </is>
      </c>
      <c r="R2" t="inlineStr">
        <is>
          <t>ContentGeometryParamDefinition</t>
        </is>
      </c>
      <c r="S2" t="inlineStr">
        <is>
          <t>Size Record Id_S-ALL</t>
        </is>
      </c>
      <c r="T2" t="inlineStr">
        <is>
          <t>Port Name_S-ALL</t>
        </is>
      </c>
      <c r="U2" t="inlineStr">
        <is>
          <t>Nominal Diameter_S-ALL</t>
        </is>
      </c>
      <c r="V2" t="inlineStr">
        <is>
          <t>Nominal Unit_S-ALL</t>
        </is>
      </c>
      <c r="W2" t="inlineStr">
        <is>
          <t>Matching Pipe OD_S-ALL</t>
        </is>
      </c>
      <c r="X2" t="inlineStr">
        <is>
          <t>End Type_S-ALL</t>
        </is>
      </c>
      <c r="Y2" t="inlineStr">
        <is>
          <t>Facing_S-ALL</t>
        </is>
      </c>
      <c r="Z2" t="inlineStr">
        <is>
          <t>Pressure Class_S-ALL</t>
        </is>
      </c>
      <c r="AA2" t="inlineStr">
        <is>
          <t>Schedule_S-ALL</t>
        </is>
      </c>
      <c r="AB2" t="inlineStr">
        <is>
          <t>Wall Thickness_S-ALL</t>
        </is>
      </c>
      <c r="AC2" t="inlineStr">
        <is>
          <t>Engagement Length_S-ALL</t>
        </is>
      </c>
      <c r="AD2" t="inlineStr">
        <is>
          <t>Port Unit_S-ALL</t>
        </is>
      </c>
      <c r="AE2" t="inlineStr">
        <is>
          <t>Short Description</t>
        </is>
      </c>
      <c r="AF2" t="inlineStr">
        <is>
          <t>Compatible Standard</t>
        </is>
      </c>
      <c r="AG2" t="inlineStr">
        <is>
          <t>Design Std</t>
        </is>
      </c>
      <c r="AH2" t="inlineStr">
        <is>
          <t>Long Description (Family)</t>
        </is>
      </c>
      <c r="AI2" t="inlineStr">
        <is>
          <t>Long Description (Size)</t>
        </is>
      </c>
      <c r="AJ2" t="inlineStr">
        <is>
          <t>Material</t>
        </is>
      </c>
      <c r="AK2" t="inlineStr">
        <is>
          <t>Material Code</t>
        </is>
      </c>
      <c r="AL2" t="inlineStr">
        <is>
          <t>Weight</t>
        </is>
      </c>
      <c r="AM2" t="inlineStr">
        <is>
          <t>Weight Unit</t>
        </is>
      </c>
      <c r="AN2" t="inlineStr">
        <is>
          <t>PartFamilyId</t>
        </is>
      </c>
      <c r="AO2" t="inlineStr">
        <is>
          <t>CatalogPartFamilyId</t>
        </is>
      </c>
      <c r="AP2" t="inlineStr">
        <is>
          <t>ConnectionPortCount</t>
        </is>
      </c>
      <c r="AQ2" t="inlineStr">
        <is>
          <t>PartCategory</t>
        </is>
      </c>
      <c r="AR2" t="inlineStr">
        <is>
          <t>PnPClassName</t>
        </is>
      </c>
      <c r="AS2" t="inlineStr">
        <is>
          <t>SKEY</t>
        </is>
      </c>
      <c r="AT2" t="inlineStr">
        <is>
          <t>TYPE</t>
        </is>
      </c>
      <c r="AU2" t="inlineStr">
        <is>
          <t>ContentIsoSymbolDefinition</t>
        </is>
      </c>
    </row>
    <row r="3">
      <c r="C3" t="inlineStr">
        <is>
          <t>CUST_VALVE_ANGLE</t>
        </is>
      </c>
      <c r="R3" t="inlineStr">
        <is>
          <t>D1,D2,L1,L2,H1,H2,W1,W2,A,OF,B1,B2,</t>
        </is>
      </c>
      <c r="T3" t="inlineStr">
        <is>
          <t>ALL</t>
        </is>
      </c>
      <c r="V3" t="inlineStr">
        <is>
          <t>mm</t>
        </is>
      </c>
      <c r="X3" t="inlineStr">
        <is>
          <t>BV</t>
        </is>
      </c>
      <c r="Z3" t="inlineStr">
        <is>
          <t>150</t>
        </is>
      </c>
      <c r="AA3" t="inlineStr">
        <is>
          <t>40</t>
        </is>
      </c>
      <c r="AD3" t="inlineStr">
        <is>
          <t>mm</t>
        </is>
      </c>
      <c r="AE3" t="inlineStr">
        <is>
          <t>Angle valve</t>
        </is>
      </c>
      <c r="AF3" t="inlineStr">
        <is>
          <t>Manufacturer</t>
        </is>
      </c>
      <c r="AG3" t="inlineStr">
        <is>
          <t>Custom</t>
        </is>
      </c>
      <c r="AH3" t="inlineStr">
        <is>
          <t>Valve. Angle pattern CS</t>
        </is>
      </c>
      <c r="AJ3" t="inlineStr">
        <is>
          <t>CS</t>
        </is>
      </c>
      <c r="AP3" t="inlineStr">
        <is>
          <t>2</t>
        </is>
      </c>
      <c r="AQ3" t="inlineStr">
        <is>
          <t>Valves</t>
        </is>
      </c>
      <c r="AR3" t="inlineStr">
        <is>
          <t>Valve</t>
        </is>
      </c>
      <c r="AS3" t="inlineStr">
        <is>
          <t>VANG</t>
        </is>
      </c>
      <c r="AT3" t="inlineStr">
        <is>
          <t>VALVE</t>
        </is>
      </c>
      <c r="AU3" t="inlineStr">
        <is>
          <t>TYPE=VALVE,SKEY=VANG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Previews</t>
        </is>
      </c>
      <c r="B1" t="inlineStr">
        <is>
          <t>Sizes</t>
        </is>
      </c>
      <c r="C1" t="inlineStr">
        <is>
          <t>ShapeName</t>
        </is>
      </c>
      <c r="D1" t="inlineStr">
        <is>
          <t>ScriptPath</t>
        </is>
      </c>
      <c r="E1" t="inlineStr">
        <is>
          <t>DN</t>
        </is>
      </c>
      <c r="F1" t="inlineStr">
        <is>
          <t>D1</t>
        </is>
      </c>
      <c r="G1" t="inlineStr">
        <is>
          <t>D2</t>
        </is>
      </c>
      <c r="H1" t="inlineStr">
        <is>
          <t>L1</t>
        </is>
      </c>
      <c r="I1" t="inlineStr">
        <is>
          <t>L2</t>
        </is>
      </c>
      <c r="J1" t="inlineStr">
        <is>
          <t>X1</t>
        </is>
      </c>
      <c r="K1" t="inlineStr">
        <is>
          <t>X2</t>
        </is>
      </c>
      <c r="L1" t="inlineStr">
        <is>
          <t>H1</t>
        </is>
      </c>
      <c r="M1" t="inlineStr">
        <is>
          <t>H2</t>
        </is>
      </c>
      <c r="N1" t="inlineStr">
        <is>
          <t>W1</t>
        </is>
      </c>
      <c r="O1" t="inlineStr">
        <is>
          <t>W2</t>
        </is>
      </c>
      <c r="P1" t="inlineStr">
        <is>
          <t>A</t>
        </is>
      </c>
      <c r="Q1" t="inlineStr">
        <is>
          <t>OF</t>
        </is>
      </c>
      <c r="R1" t="inlineStr">
        <is>
          <t>B1</t>
        </is>
      </c>
      <c r="S1" t="inlineStr">
        <is>
          <t>B2</t>
        </is>
      </c>
      <c r="T1" t="inlineStr">
        <is>
          <t>DA</t>
        </is>
      </c>
      <c r="U1" t="inlineStr">
        <is>
          <t>HA</t>
        </is>
      </c>
      <c r="V1" t="inlineStr">
        <is>
          <t>isPilot</t>
        </is>
      </c>
      <c r="W1" t="inlineStr">
        <is>
          <t>ContentGeometryParamDefinition</t>
        </is>
      </c>
      <c r="X1" t="inlineStr">
        <is>
          <t>SizeRecordId_S1</t>
        </is>
      </c>
      <c r="Y1" t="inlineStr">
        <is>
          <t>PortName_S1</t>
        </is>
      </c>
      <c r="Z1" t="inlineStr">
        <is>
          <t>NominalDiameter_S1</t>
        </is>
      </c>
      <c r="AA1" t="inlineStr">
        <is>
          <t>NominalUnit_S1</t>
        </is>
      </c>
      <c r="AB1" t="inlineStr">
        <is>
          <t>MatchingPipeOd_S1</t>
        </is>
      </c>
      <c r="AC1" t="inlineStr">
        <is>
          <t>EndType_S1</t>
        </is>
      </c>
      <c r="AD1" t="inlineStr">
        <is>
          <t>Facing_S1</t>
        </is>
      </c>
      <c r="AE1" t="inlineStr">
        <is>
          <t>PressureClass_S1</t>
        </is>
      </c>
      <c r="AF1" t="inlineStr">
        <is>
          <t>Schedule_S1</t>
        </is>
      </c>
      <c r="AG1" t="inlineStr">
        <is>
          <t>WallThickness_S1</t>
        </is>
      </c>
      <c r="AH1" t="inlineStr">
        <is>
          <t>EngagementLength_S1</t>
        </is>
      </c>
      <c r="AI1" t="inlineStr">
        <is>
          <t>LengthUnit_S1</t>
        </is>
      </c>
      <c r="AJ1" t="inlineStr">
        <is>
          <t>SizeRecordId_S2</t>
        </is>
      </c>
      <c r="AK1" t="inlineStr">
        <is>
          <t>PortName_S2</t>
        </is>
      </c>
      <c r="AL1" t="inlineStr">
        <is>
          <t>NominalDiameter_S2</t>
        </is>
      </c>
      <c r="AM1" t="inlineStr">
        <is>
          <t>NominalUnit_S2</t>
        </is>
      </c>
      <c r="AN1" t="inlineStr">
        <is>
          <t>MatchingPipeOd_S2</t>
        </is>
      </c>
      <c r="AO1" t="inlineStr">
        <is>
          <t>EndType_S2</t>
        </is>
      </c>
      <c r="AP1" t="inlineStr">
        <is>
          <t>Facing_S2</t>
        </is>
      </c>
      <c r="AQ1" t="inlineStr">
        <is>
          <t>PressureClass_S2</t>
        </is>
      </c>
      <c r="AR1" t="inlineStr">
        <is>
          <t>Schedule_S2</t>
        </is>
      </c>
      <c r="AS1" t="inlineStr">
        <is>
          <t>WallThickness_S2</t>
        </is>
      </c>
      <c r="AT1" t="inlineStr">
        <is>
          <t>EngagementLength_S2</t>
        </is>
      </c>
      <c r="AU1" t="inlineStr">
        <is>
          <t>LengthUnit_S2</t>
        </is>
      </c>
      <c r="AV1" t="inlineStr">
        <is>
          <t>ShortDescription</t>
        </is>
      </c>
      <c r="AW1" t="inlineStr">
        <is>
          <t>CompatibleStandard</t>
        </is>
      </c>
      <c r="AX1" t="inlineStr">
        <is>
          <t>DesignStd</t>
        </is>
      </c>
      <c r="AY1" t="inlineStr">
        <is>
          <t>PartFamilyLongDesc</t>
        </is>
      </c>
      <c r="AZ1" t="inlineStr">
        <is>
          <t>PartSizeLongDesc</t>
        </is>
      </c>
      <c r="BA1" t="inlineStr">
        <is>
          <t>Material</t>
        </is>
      </c>
      <c r="BB1" t="inlineStr">
        <is>
          <t>MaterialCode</t>
        </is>
      </c>
      <c r="BC1" t="inlineStr">
        <is>
          <t>Weight</t>
        </is>
      </c>
      <c r="BD1" t="inlineStr">
        <is>
          <t>WeightUnit</t>
        </is>
      </c>
      <c r="BE1" t="inlineStr">
        <is>
          <t>PartFamilyId</t>
        </is>
      </c>
      <c r="BF1" t="inlineStr">
        <is>
          <t>CatalogPartFamilyId</t>
        </is>
      </c>
      <c r="BG1" t="inlineStr">
        <is>
          <t>ConnectionPortCount</t>
        </is>
      </c>
      <c r="BH1" t="inlineStr">
        <is>
          <t>PartCategory</t>
        </is>
      </c>
      <c r="BI1" t="inlineStr">
        <is>
          <t>PnPClassName</t>
        </is>
      </c>
      <c r="BJ1" t="inlineStr">
        <is>
          <t>SKEY</t>
        </is>
      </c>
      <c r="BK1" t="inlineStr">
        <is>
          <t>TYPE</t>
        </is>
      </c>
      <c r="BL1" t="inlineStr">
        <is>
          <t>ContentIsoSymbolDefinition</t>
        </is>
      </c>
    </row>
    <row r="2">
      <c r="A2" t="inlineStr">
        <is>
          <t>Preview</t>
        </is>
      </c>
      <c r="B2" t="inlineStr">
        <is>
          <t>Sizes</t>
        </is>
      </c>
      <c r="C2" t="inlineStr">
        <is>
          <t>Shape Name</t>
        </is>
      </c>
      <c r="D2" t="inlineStr">
        <is>
          <t>Script Path</t>
        </is>
      </c>
      <c r="E2" t="inlineStr">
        <is>
          <t>DN</t>
        </is>
      </c>
      <c r="F2" t="inlineStr">
        <is>
          <t>D1</t>
        </is>
      </c>
      <c r="G2" t="inlineStr">
        <is>
          <t>D2</t>
        </is>
      </c>
      <c r="H2" t="inlineStr">
        <is>
          <t>L1</t>
        </is>
      </c>
      <c r="I2" t="inlineStr">
        <is>
          <t>L2</t>
        </is>
      </c>
      <c r="J2" t="inlineStr">
        <is>
          <t>X1</t>
        </is>
      </c>
      <c r="K2" t="inlineStr">
        <is>
          <t>X2</t>
        </is>
      </c>
      <c r="L2" t="inlineStr">
        <is>
          <t>H1</t>
        </is>
      </c>
      <c r="M2" t="inlineStr">
        <is>
          <t>H2</t>
        </is>
      </c>
      <c r="N2" t="inlineStr">
        <is>
          <t>W1</t>
        </is>
      </c>
      <c r="O2" t="inlineStr">
        <is>
          <t>W2</t>
        </is>
      </c>
      <c r="P2" t="inlineStr">
        <is>
          <t>A</t>
        </is>
      </c>
      <c r="Q2" t="inlineStr">
        <is>
          <t>OF</t>
        </is>
      </c>
      <c r="R2" t="inlineStr">
        <is>
          <t>B1</t>
        </is>
      </c>
      <c r="S2" t="inlineStr">
        <is>
          <t>B2</t>
        </is>
      </c>
      <c r="T2" t="inlineStr">
        <is>
          <t>DA</t>
        </is>
      </c>
      <c r="U2" t="inlineStr">
        <is>
          <t>HA</t>
        </is>
      </c>
      <c r="V2" t="inlineStr">
        <is>
          <t>isPilot</t>
        </is>
      </c>
      <c r="W2" t="inlineStr">
        <is>
          <t>ContentGeometryParamDefinition</t>
        </is>
      </c>
      <c r="X2" t="inlineStr">
        <is>
          <t>Size Record Id_S1</t>
        </is>
      </c>
      <c r="Y2" t="inlineStr">
        <is>
          <t>Port Name_S1</t>
        </is>
      </c>
      <c r="Z2" t="inlineStr">
        <is>
          <t>Nominal Diameter_S1</t>
        </is>
      </c>
      <c r="AA2" t="inlineStr">
        <is>
          <t>Nominal Unit_S1</t>
        </is>
      </c>
      <c r="AB2" t="inlineStr">
        <is>
          <t>Matching Pipe OD_S1</t>
        </is>
      </c>
      <c r="AC2" t="inlineStr">
        <is>
          <t>End Type_S1</t>
        </is>
      </c>
      <c r="AD2" t="inlineStr">
        <is>
          <t>Facing_S1</t>
        </is>
      </c>
      <c r="AE2" t="inlineStr">
        <is>
          <t>Pressure Class_S1</t>
        </is>
      </c>
      <c r="AF2" t="inlineStr">
        <is>
          <t>Schedule_S1</t>
        </is>
      </c>
      <c r="AG2" t="inlineStr">
        <is>
          <t>Wall Thickness_S1</t>
        </is>
      </c>
      <c r="AH2" t="inlineStr">
        <is>
          <t>Engagement Length_S1</t>
        </is>
      </c>
      <c r="AI2" t="inlineStr">
        <is>
          <t>Port Unit_S1</t>
        </is>
      </c>
      <c r="AJ2" t="inlineStr">
        <is>
          <t>Size Record Id_S2</t>
        </is>
      </c>
      <c r="AK2" t="inlineStr">
        <is>
          <t>Port Name_S2</t>
        </is>
      </c>
      <c r="AL2" t="inlineStr">
        <is>
          <t>Nominal Diameter_S2</t>
        </is>
      </c>
      <c r="AM2" t="inlineStr">
        <is>
          <t>Nominal Unit_S2</t>
        </is>
      </c>
      <c r="AN2" t="inlineStr">
        <is>
          <t>Matching Pipe OD_S2</t>
        </is>
      </c>
      <c r="AO2" t="inlineStr">
        <is>
          <t>End Type_S2</t>
        </is>
      </c>
      <c r="AP2" t="inlineStr">
        <is>
          <t>Facing_S2</t>
        </is>
      </c>
      <c r="AQ2" t="inlineStr">
        <is>
          <t>Pressure Class_S2</t>
        </is>
      </c>
      <c r="AR2" t="inlineStr">
        <is>
          <t>Schedule_S2</t>
        </is>
      </c>
      <c r="AS2" t="inlineStr">
        <is>
          <t>Wall Thickness_S2</t>
        </is>
      </c>
      <c r="AT2" t="inlineStr">
        <is>
          <t>Engagement Length_S2</t>
        </is>
      </c>
      <c r="AU2" t="inlineStr">
        <is>
          <t>Port Unit_S2</t>
        </is>
      </c>
      <c r="AV2" t="inlineStr">
        <is>
          <t>Short Description</t>
        </is>
      </c>
      <c r="AW2" t="inlineStr">
        <is>
          <t>Compatible Standard</t>
        </is>
      </c>
      <c r="AX2" t="inlineStr">
        <is>
          <t>Design Std</t>
        </is>
      </c>
      <c r="AY2" t="inlineStr">
        <is>
          <t>Long Description (Family)</t>
        </is>
      </c>
      <c r="AZ2" t="inlineStr">
        <is>
          <t>Long Description (Size)</t>
        </is>
      </c>
      <c r="BA2" t="inlineStr">
        <is>
          <t>Material</t>
        </is>
      </c>
      <c r="BB2" t="inlineStr">
        <is>
          <t>Material Code</t>
        </is>
      </c>
      <c r="BC2" t="inlineStr">
        <is>
          <t>Weight</t>
        </is>
      </c>
      <c r="BD2" t="inlineStr">
        <is>
          <t>Weight Unit</t>
        </is>
      </c>
      <c r="BE2" t="inlineStr">
        <is>
          <t>PartFamilyId</t>
        </is>
      </c>
      <c r="BF2" t="inlineStr">
        <is>
          <t>CatalogPartFamilyId</t>
        </is>
      </c>
      <c r="BG2" t="inlineStr">
        <is>
          <t>ConnectionPortCount</t>
        </is>
      </c>
      <c r="BH2" t="inlineStr">
        <is>
          <t>PartCategory</t>
        </is>
      </c>
      <c r="BI2" t="inlineStr">
        <is>
          <t>PnPClassName</t>
        </is>
      </c>
      <c r="BJ2" t="inlineStr">
        <is>
          <t>SKEY</t>
        </is>
      </c>
      <c r="BK2" t="inlineStr">
        <is>
          <t>TYPE</t>
        </is>
      </c>
      <c r="BL2" t="inlineStr">
        <is>
          <t>ContentIsoSymbolDefinition</t>
        </is>
      </c>
    </row>
    <row r="3">
      <c r="C3" t="inlineStr">
        <is>
          <t>CUST_VALVE_PSV</t>
        </is>
      </c>
      <c r="W3" t="inlineStr">
        <is>
          <t>D1,D2,L1,L2,X1,X2,H1,H2,W1,W2,A,OF,B1,B2,DA,HA,isPilot,</t>
        </is>
      </c>
      <c r="Y3" t="inlineStr">
        <is>
          <t>S1</t>
        </is>
      </c>
      <c r="AA3" t="inlineStr">
        <is>
          <t>mm</t>
        </is>
      </c>
      <c r="AC3" t="inlineStr">
        <is>
          <t>FL</t>
        </is>
      </c>
      <c r="AD3" t="inlineStr">
        <is>
          <t>RF</t>
        </is>
      </c>
      <c r="AE3" t="inlineStr">
        <is>
          <t>150</t>
        </is>
      </c>
      <c r="AI3" t="inlineStr">
        <is>
          <t>mm</t>
        </is>
      </c>
      <c r="AK3" t="inlineStr">
        <is>
          <t>S2</t>
        </is>
      </c>
      <c r="AM3" t="inlineStr">
        <is>
          <t>mm</t>
        </is>
      </c>
      <c r="AO3" t="inlineStr">
        <is>
          <t>FL</t>
        </is>
      </c>
      <c r="AP3" t="inlineStr">
        <is>
          <t>RF</t>
        </is>
      </c>
      <c r="AQ3" t="inlineStr">
        <is>
          <t>150</t>
        </is>
      </c>
      <c r="AU3" t="inlineStr">
        <is>
          <t>mm</t>
        </is>
      </c>
      <c r="AV3" t="inlineStr">
        <is>
          <t>Pressure relief valve</t>
        </is>
      </c>
      <c r="AW3" t="inlineStr">
        <is>
          <t>ASME VIII / API 526</t>
        </is>
      </c>
      <c r="AX3" t="inlineStr">
        <is>
          <t>Custom</t>
        </is>
      </c>
      <c r="AY3" t="inlineStr">
        <is>
          <t>Valve. Pressure relief / safety CS</t>
        </is>
      </c>
      <c r="BA3" t="inlineStr">
        <is>
          <t>CS</t>
        </is>
      </c>
      <c r="BG3" t="inlineStr">
        <is>
          <t>2</t>
        </is>
      </c>
      <c r="BH3" t="inlineStr">
        <is>
          <t>Valves</t>
        </is>
      </c>
      <c r="BI3" t="inlineStr">
        <is>
          <t>Valve</t>
        </is>
      </c>
      <c r="BJ3" t="inlineStr">
        <is>
          <t>VPSV</t>
        </is>
      </c>
      <c r="BK3" t="inlineStr">
        <is>
          <t>VALVE</t>
        </is>
      </c>
      <c r="BL3" t="inlineStr">
        <is>
          <t>TYPE=VALVE,SKEY=VPSV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L5"/>
  <sheetViews>
    <sheetView topLeftCell="T2" workbookViewId="0">
      <selection activeCell="Z4" sqref="Z4"/>
    </sheetView>
  </sheetViews>
  <sheetFormatPr baseColWidth="8" defaultColWidth="9.139196" defaultRowHeight="15"/>
  <cols>
    <col width="9.140625" customWidth="1" style="1" min="1" max="1"/>
    <col width="5.425781" bestFit="1" customWidth="1" style="1" min="2" max="2"/>
    <col width="30" bestFit="1" customWidth="1" style="1" min="3" max="3"/>
    <col width="118.140625" bestFit="1" customWidth="1" style="1" min="4" max="4"/>
    <col width="3.710938" bestFit="1" customWidth="1" style="1" min="5" max="5"/>
    <col width="32.425781" bestFit="1" customWidth="1" min="6" max="6"/>
    <col width="38" bestFit="1" customWidth="1" min="7" max="7"/>
    <col width="15.855469" bestFit="1" customWidth="1" style="1" min="8" max="8"/>
    <col width="23" bestFit="1" customWidth="1" style="1" min="9" max="9"/>
    <col width="18.425781" bestFit="1" customWidth="1" style="1" min="10" max="10"/>
    <col width="22" bestFit="1" customWidth="1" style="1" min="11" max="11"/>
    <col width="14.425781" bestFit="1" customWidth="1" style="1" min="12" max="12"/>
    <col width="15.570312" bestFit="1" customWidth="1" style="1" min="13" max="13"/>
    <col width="15.855469" bestFit="1" customWidth="1" style="1" min="14" max="14"/>
    <col width="12.285156" bestFit="1" customWidth="1" style="1" min="15" max="15"/>
    <col width="21.570312" bestFit="1" customWidth="1" style="1" min="16" max="16"/>
    <col width="19.140625" bestFit="1" customWidth="1" style="1" min="17" max="17"/>
    <col width="15" bestFit="1" customWidth="1" style="1" min="18" max="18"/>
    <col width="19.710938" bestFit="1" customWidth="1" style="1" min="19" max="19"/>
    <col width="24.140625" bestFit="1" customWidth="1" style="1" min="20" max="20"/>
    <col width="16.710938" bestFit="1" customWidth="1" style="1" min="21" max="21"/>
    <col width="24.285156" bestFit="1" customWidth="1" style="1" min="22" max="22"/>
    <col width="19.425781" bestFit="1" customWidth="1" style="1" min="23" max="23"/>
    <col width="9.855468999999999" bestFit="1" customWidth="1" style="1" min="24" max="24"/>
    <col width="64.285156" bestFit="1" customWidth="1" style="1" min="25" max="25"/>
    <col width="69.570312" bestFit="1" customWidth="1" style="1" min="26" max="26"/>
    <col width="8.570311999999999" bestFit="1" customWidth="1" style="1" min="27" max="27"/>
    <col width="13.285156" bestFit="1" customWidth="1" style="1" min="28" max="28"/>
    <col width="7.570312" bestFit="1" customWidth="1" style="1" min="29" max="29"/>
    <col width="11.425781" bestFit="1" customWidth="1" style="1" min="30" max="30"/>
    <col width="5.285156" bestFit="1" customWidth="1" style="1" min="31" max="32"/>
    <col width="36.425781" bestFit="1" customWidth="1" min="33" max="33"/>
    <col width="19" bestFit="1" customWidth="1" min="34" max="34"/>
    <col width="10" bestFit="1" customWidth="1" min="35" max="35"/>
    <col width="13.285156" bestFit="1" customWidth="1" style="1" min="36" max="36"/>
    <col width="9.710938000000001" bestFit="1" customWidth="1" style="1" min="37" max="37"/>
    <col width="20.425781" bestFit="1" customWidth="1" style="1" min="38" max="38"/>
    <col width="20.425781" bestFit="1" customWidth="1" min="39" max="39"/>
    <col width="22.425781" bestFit="1" customWidth="1" style="1" min="40" max="40"/>
    <col width="12.425781" bestFit="1" customWidth="1" min="41" max="41"/>
    <col width="26.855469" bestFit="1" customWidth="1" min="42" max="42"/>
    <col width="11.425781" bestFit="1" customWidth="1" min="43" max="43"/>
    <col width="6.425781" bestFit="1" customWidth="1" style="1" min="44" max="44"/>
    <col width="10.140625" bestFit="1" customWidth="1" style="1" min="45" max="45"/>
    <col width="12" bestFit="1" customWidth="1" style="1" min="46" max="46"/>
    <col width="14.285156" bestFit="1" customWidth="1" style="1" min="47" max="47"/>
    <col width="14.285156" bestFit="1" customWidth="1" min="48" max="48"/>
    <col width="22.710938" bestFit="1" customWidth="1" min="49" max="49"/>
    <col width="9.140625" customWidth="1" min="50" max="65"/>
  </cols>
  <sheetData>
    <row r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DN</t>
        </is>
      </c>
      <c r="F1" t="inlineStr">
        <is>
          <t>ContentGeometryParamDefinition</t>
        </is>
      </c>
      <c r="G1" t="inlineStr">
        <is>
          <t>SizeRecordId_S1</t>
        </is>
      </c>
      <c r="H1" s="77" t="inlineStr">
        <is>
          <t>PortName_S1</t>
        </is>
      </c>
      <c r="I1" s="1" t="inlineStr">
        <is>
          <t>NominalDiameter_S1</t>
        </is>
      </c>
      <c r="J1" s="1" t="inlineStr">
        <is>
          <t>NominalUnit_S1</t>
        </is>
      </c>
      <c r="K1" s="1" t="inlineStr">
        <is>
          <t>MatchingPipeOd_S1</t>
        </is>
      </c>
      <c r="L1" s="1" t="inlineStr">
        <is>
          <t>EndType_S1</t>
        </is>
      </c>
      <c r="M1" s="1" t="inlineStr">
        <is>
          <t>FlangeStd_S1</t>
        </is>
      </c>
      <c r="N1" s="1" t="inlineStr">
        <is>
          <t>GasketStd_S1</t>
        </is>
      </c>
      <c r="O1" s="1" t="inlineStr">
        <is>
          <t>Facing_S1</t>
        </is>
      </c>
      <c r="P1" s="1" t="inlineStr">
        <is>
          <t>FlangeThickness_S1</t>
        </is>
      </c>
      <c r="Q1" s="1" t="inlineStr">
        <is>
          <t>PressureClass_S1</t>
        </is>
      </c>
      <c r="R1" s="1" t="inlineStr">
        <is>
          <t>Schedule_S1</t>
        </is>
      </c>
      <c r="S1" s="1" t="inlineStr">
        <is>
          <t>WallThickness_S1</t>
        </is>
      </c>
      <c r="T1" s="1" t="inlineStr">
        <is>
          <t>EngagementLength_S1</t>
        </is>
      </c>
      <c r="U1" s="1" t="inlineStr">
        <is>
          <t>LengthUnit_S1</t>
        </is>
      </c>
      <c r="V1" t="inlineStr">
        <is>
          <t>SizeRecordId_S2</t>
        </is>
      </c>
      <c r="W1" t="inlineStr">
        <is>
          <t>PortName_S2</t>
        </is>
      </c>
      <c r="X1" t="inlineStr">
        <is>
          <t>NominalDiameter_S2</t>
        </is>
      </c>
      <c r="Y1" t="inlineStr">
        <is>
          <t>NominalUnit_S2</t>
        </is>
      </c>
      <c r="Z1" t="inlineStr">
        <is>
          <t>MatchingPipeOd_S2</t>
        </is>
      </c>
      <c r="AA1" t="inlineStr">
        <is>
          <t>EndType_S2</t>
        </is>
      </c>
      <c r="AB1" t="inlineStr">
        <is>
          <t>FlangeStd_S2</t>
        </is>
      </c>
      <c r="AC1" t="inlineStr">
        <is>
          <t>GasketStd_S2</t>
        </is>
      </c>
      <c r="AD1" t="inlineStr">
        <is>
          <t>Facing_S2</t>
        </is>
      </c>
      <c r="AE1" t="inlineStr">
        <is>
          <t>FlangeThickness_S2</t>
        </is>
      </c>
      <c r="AF1" t="inlineStr">
        <is>
          <t>PressureClass_S2</t>
        </is>
      </c>
      <c r="AG1" t="inlineStr">
        <is>
          <t>Schedule_S2</t>
        </is>
      </c>
      <c r="AH1" t="inlineStr">
        <is>
          <t>WallThickness_S2</t>
        </is>
      </c>
      <c r="AI1" t="inlineStr">
        <is>
          <t>EngagementLength_S2</t>
        </is>
      </c>
      <c r="AJ1" t="inlineStr">
        <is>
          <t>LengthUnit_S2</t>
        </is>
      </c>
      <c r="AK1" s="1" t="inlineStr">
        <is>
          <t>ShortDescription</t>
        </is>
      </c>
      <c r="AL1" s="1" t="inlineStr">
        <is>
          <t>CompatibleStandard</t>
        </is>
      </c>
      <c r="AM1" s="1" t="inlineStr">
        <is>
          <t>DesignStd</t>
        </is>
      </c>
      <c r="AN1" s="1" t="inlineStr">
        <is>
          <t>PartFamilyLongDesc</t>
        </is>
      </c>
      <c r="AO1" s="1" t="inlineStr">
        <is>
          <t>PartSizeLongDesc</t>
        </is>
      </c>
      <c r="AP1" s="1" t="inlineStr">
        <is>
          <t>Material</t>
        </is>
      </c>
      <c r="AQ1" s="1" t="inlineStr">
        <is>
          <t>MaterialCode</t>
        </is>
      </c>
      <c r="AR1" s="1" t="inlineStr">
        <is>
          <t>Weight</t>
        </is>
      </c>
      <c r="AS1" s="1" t="inlineStr">
        <is>
          <t>WeightUnit</t>
        </is>
      </c>
      <c r="AT1" s="1" t="inlineStr">
        <is>
          <t>SKEY</t>
        </is>
      </c>
      <c r="AU1" s="1" t="inlineStr">
        <is>
          <t>TYPE</t>
        </is>
      </c>
      <c r="AV1" t="inlineStr">
        <is>
          <t>PartFamilyId</t>
        </is>
      </c>
      <c r="AW1" t="inlineStr">
        <is>
          <t>CatalogPartFamilyId</t>
        </is>
      </c>
      <c r="AX1" t="inlineStr">
        <is>
          <t>PartStatus</t>
        </is>
      </c>
      <c r="AY1" s="1" t="inlineStr">
        <is>
          <t>Manufacturer</t>
        </is>
      </c>
      <c r="AZ1" s="1" t="inlineStr">
        <is>
          <t>ItemCode</t>
        </is>
      </c>
      <c r="BA1" s="1" t="inlineStr">
        <is>
          <t>DesignPressureFactor</t>
        </is>
      </c>
      <c r="BB1" t="inlineStr">
        <is>
          <t>ConnectionPortCount</t>
        </is>
      </c>
      <c r="BC1" s="1" t="inlineStr">
        <is>
          <t>ComponentDesignation</t>
        </is>
      </c>
      <c r="BD1" t="inlineStr">
        <is>
          <t>PartCategory</t>
        </is>
      </c>
      <c r="BE1" t="inlineStr">
        <is>
          <t>ContentIsoSymbolDefinition</t>
        </is>
      </c>
      <c r="BF1" t="inlineStr">
        <is>
          <t>PartVersion</t>
        </is>
      </c>
      <c r="BG1" s="1" t="inlineStr">
        <is>
          <t>Status</t>
        </is>
      </c>
      <c r="BH1" s="1" t="inlineStr">
        <is>
          <t>PathAngle</t>
        </is>
      </c>
      <c r="BI1" s="1" t="inlineStr">
        <is>
          <t>CurveRadius</t>
        </is>
      </c>
      <c r="BJ1" s="1" t="inlineStr">
        <is>
          <t>SegmentCount</t>
        </is>
      </c>
      <c r="BK1" t="inlineStr">
        <is>
          <t>PnPClassName</t>
        </is>
      </c>
      <c r="BL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DN</t>
        </is>
      </c>
      <c r="F2" s="2" t="inlineStr">
        <is>
          <t>ContentGeometryParamDefinition</t>
        </is>
      </c>
      <c r="G2" s="2" t="inlineStr">
        <is>
          <t>SizeRecordId_S1</t>
        </is>
      </c>
      <c r="H2" s="78" t="inlineStr">
        <is>
          <t>PortName_S1</t>
        </is>
      </c>
      <c r="I2" s="2" t="inlineStr">
        <is>
          <t>NominalDiameter_S1</t>
        </is>
      </c>
      <c r="J2" s="2" t="inlineStr">
        <is>
          <t>NominalUnit_S1</t>
        </is>
      </c>
      <c r="K2" s="2" t="inlineStr">
        <is>
          <t>MatchingPipeOd_S1</t>
        </is>
      </c>
      <c r="L2" s="2" t="inlineStr">
        <is>
          <t>EndType_S1</t>
        </is>
      </c>
      <c r="M2" s="2" t="inlineStr">
        <is>
          <t>FlangeStd_S1</t>
        </is>
      </c>
      <c r="N2" s="2" t="inlineStr">
        <is>
          <t>GasketStd_S1</t>
        </is>
      </c>
      <c r="O2" s="2" t="inlineStr">
        <is>
          <t>Facing_S1</t>
        </is>
      </c>
      <c r="P2" s="2" t="inlineStr">
        <is>
          <t>FlangeThickness_S1</t>
        </is>
      </c>
      <c r="Q2" s="2" t="inlineStr">
        <is>
          <t>PressureClass_S1</t>
        </is>
      </c>
      <c r="R2" s="2" t="inlineStr">
        <is>
          <t>Schedule_S1</t>
        </is>
      </c>
      <c r="S2" s="2" t="inlineStr">
        <is>
          <t>WallThickness_S1</t>
        </is>
      </c>
      <c r="T2" s="2" t="inlineStr">
        <is>
          <t>EngagementLength_S1</t>
        </is>
      </c>
      <c r="U2" s="2" t="inlineStr">
        <is>
          <t>LengthUnit_S1</t>
        </is>
      </c>
      <c r="V2" t="inlineStr">
        <is>
          <t>SizeRecordId_S2</t>
        </is>
      </c>
      <c r="W2" t="inlineStr">
        <is>
          <t>PortName_S2</t>
        </is>
      </c>
      <c r="X2" t="inlineStr">
        <is>
          <t>NominalDiameter_S2</t>
        </is>
      </c>
      <c r="Y2" t="inlineStr">
        <is>
          <t>NominalUnit_S2</t>
        </is>
      </c>
      <c r="Z2" t="inlineStr">
        <is>
          <t>MatchingPipeOd_S2</t>
        </is>
      </c>
      <c r="AA2" t="inlineStr">
        <is>
          <t>EndType_S2</t>
        </is>
      </c>
      <c r="AB2" t="inlineStr">
        <is>
          <t>FlangeStd_S2</t>
        </is>
      </c>
      <c r="AC2" t="inlineStr">
        <is>
          <t>GasketStd_S2</t>
        </is>
      </c>
      <c r="AD2" t="inlineStr">
        <is>
          <t>Facing_S2</t>
        </is>
      </c>
      <c r="AE2" t="inlineStr">
        <is>
          <t>FlangeThickness_S2</t>
        </is>
      </c>
      <c r="AF2" t="inlineStr">
        <is>
          <t>PressureClass_S2</t>
        </is>
      </c>
      <c r="AG2" t="inlineStr">
        <is>
          <t>Schedule_S2</t>
        </is>
      </c>
      <c r="AH2" t="inlineStr">
        <is>
          <t>WallThickness_S2</t>
        </is>
      </c>
      <c r="AI2" t="inlineStr">
        <is>
          <t>EngagementLength_S2</t>
        </is>
      </c>
      <c r="AJ2" t="inlineStr">
        <is>
          <t>LengthUnit_S2</t>
        </is>
      </c>
      <c r="AK2" s="2" t="inlineStr">
        <is>
          <t>ShortDescription</t>
        </is>
      </c>
      <c r="AL2" s="2" t="inlineStr">
        <is>
          <t>CompatibleStandard</t>
        </is>
      </c>
      <c r="AM2" s="2" t="inlineStr">
        <is>
          <t>DesignStd</t>
        </is>
      </c>
      <c r="AN2" s="2" t="inlineStr">
        <is>
          <t>PartFamilyLongDesc</t>
        </is>
      </c>
      <c r="AO2" s="2" t="inlineStr">
        <is>
          <t>PartSizeLongDesc</t>
        </is>
      </c>
      <c r="AP2" s="2" t="inlineStr">
        <is>
          <t>Material</t>
        </is>
      </c>
      <c r="AQ2" s="2" t="inlineStr">
        <is>
          <t>MaterialCode</t>
        </is>
      </c>
      <c r="AR2" s="2" t="inlineStr">
        <is>
          <t>Weight</t>
        </is>
      </c>
      <c r="AS2" s="2" t="inlineStr">
        <is>
          <t>WeightUnit</t>
        </is>
      </c>
      <c r="AT2" s="2" t="inlineStr">
        <is>
          <t>SKEY</t>
        </is>
      </c>
      <c r="AU2" s="2" t="inlineStr">
        <is>
          <t>TYPE</t>
        </is>
      </c>
      <c r="AV2" s="2" t="inlineStr">
        <is>
          <t>PartFamilyId</t>
        </is>
      </c>
      <c r="AW2" s="2" t="inlineStr">
        <is>
          <t>CatalogPartFamilyId</t>
        </is>
      </c>
      <c r="AX2" s="2" t="inlineStr">
        <is>
          <t>PartStatus</t>
        </is>
      </c>
      <c r="AY2" s="2" t="inlineStr">
        <is>
          <t>Manufacturer</t>
        </is>
      </c>
      <c r="AZ2" s="2" t="inlineStr">
        <is>
          <t>ItemCode</t>
        </is>
      </c>
      <c r="BA2" s="2" t="inlineStr">
        <is>
          <t>DesignPressureFactor</t>
        </is>
      </c>
      <c r="BB2" s="2" t="inlineStr">
        <is>
          <t>ConnectionPortCount</t>
        </is>
      </c>
      <c r="BC2" s="2" t="inlineStr">
        <is>
          <t>ComponentDesignation</t>
        </is>
      </c>
      <c r="BD2" s="2" t="inlineStr">
        <is>
          <t>PartCategory</t>
        </is>
      </c>
      <c r="BE2" s="2" t="inlineStr">
        <is>
          <t>ContentIsoSymbolDefinition</t>
        </is>
      </c>
      <c r="BF2" s="2" t="inlineStr">
        <is>
          <t>PartVersion</t>
        </is>
      </c>
      <c r="BG2" s="2" t="inlineStr">
        <is>
          <t>Status</t>
        </is>
      </c>
      <c r="BH2" s="2" t="inlineStr">
        <is>
          <t>PathAngle</t>
        </is>
      </c>
      <c r="BI2" s="2" t="inlineStr">
        <is>
          <t>CurveRadius</t>
        </is>
      </c>
      <c r="BJ2" s="2" t="inlineStr">
        <is>
          <t>SegmentCount</t>
        </is>
      </c>
      <c r="BK2" s="2" t="inlineStr">
        <is>
          <t>PnPClassName</t>
        </is>
      </c>
      <c r="BL2" s="2" t="inlineStr">
        <is>
          <t>ExcelFormatVersion_2.0</t>
        </is>
      </c>
    </row>
    <row r="3">
      <c r="A3" s="1" t="n"/>
      <c r="B3" s="1" t="n"/>
      <c r="C3" s="1" t="n"/>
      <c r="D3" s="1" t="n"/>
      <c r="E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J3" s="1" t="n"/>
      <c r="AK3" s="1" t="n"/>
      <c r="AL3" s="1" t="n"/>
      <c r="AN3" s="1" t="n"/>
      <c r="AR3" s="1" t="n"/>
      <c r="AS3" s="1" t="n"/>
      <c r="AT3" s="1" t="n"/>
      <c r="AU3" s="1" t="n"/>
    </row>
    <row r="4">
      <c r="A4" s="1" t="n"/>
      <c r="B4" s="1" t="n"/>
      <c r="C4" s="1" t="n"/>
      <c r="D4" s="1" t="n"/>
      <c r="E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J4" s="1" t="n"/>
      <c r="AK4" s="1" t="n"/>
      <c r="AL4" s="1" t="n"/>
      <c r="AN4" s="1" t="n"/>
      <c r="AR4" s="1" t="n"/>
      <c r="AS4" s="1" t="n"/>
      <c r="AT4" s="1" t="n"/>
      <c r="AU4" s="1" t="n"/>
    </row>
    <row r="5">
      <c r="A5" s="1" t="n"/>
      <c r="B5" s="1" t="n"/>
      <c r="C5" s="1" t="n"/>
      <c r="D5" s="1" t="n"/>
      <c r="E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J5" s="1" t="n"/>
      <c r="AK5" s="1" t="n"/>
      <c r="AL5" s="1" t="n"/>
      <c r="AN5" s="1" t="n"/>
      <c r="AR5" s="1" t="n"/>
      <c r="AS5" s="1" t="n"/>
      <c r="AT5" s="1" t="n"/>
      <c r="AU5" s="1" t="n"/>
    </row>
  </sheetData>
  <dataValidations disablePrompts="1" count="2">
    <dataValidation sqref="AD3:AD20" showDropDown="0" showInputMessage="1" showErrorMessage="1" allowBlank="1" errorTitle="" error="" promptTitle="" prompt="" type="list" errorStyle="stop" operator="between">
      <formula1>"LB,KG"</formula1>
    </dataValidation>
    <dataValidation sqref="I3:I20 K3:K20 P3:P20 S3:T20 AC3:AC20 AI3:AI20 AM3:AM20 AS3:AU20" showDropDown="0" showInputMessage="1" showErrorMessage="1" allowBlank="1" errorTitle="" error="" promptTitle="" prompt="" type="decimal" errorStyle="stop" operator="between">
      <formula1>-5</formula1>
      <formula2>100000</formula2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cols>
    <col width="9.140625" customWidth="1" min="1" max="1"/>
    <col width="5.42578125" customWidth="1" min="2" max="2"/>
    <col width="12.140625" customWidth="1" min="3" max="3"/>
    <col width="2.28515625" customWidth="1" min="4" max="4"/>
    <col width="1.85546875" customWidth="1" min="5" max="5"/>
    <col width="3.42578125" customWidth="1" min="6" max="6"/>
    <col width="32.42578125" customWidth="1" min="7" max="7"/>
    <col width="38" customWidth="1" min="8" max="8"/>
    <col width="15.85546875" customWidth="1" min="9" max="9"/>
    <col width="23" customWidth="1" min="10" max="10"/>
    <col width="18.42578125" customWidth="1" min="11" max="11"/>
    <col width="22" customWidth="1" min="12" max="12"/>
    <col width="14.42578125" customWidth="1" min="13" max="13"/>
    <col width="15.5703125" customWidth="1" min="14" max="14"/>
    <col width="15.85546875" customWidth="1" min="15" max="15"/>
    <col width="12.28515625" customWidth="1" min="16" max="16"/>
    <col width="21.5703125" customWidth="1" min="17" max="17"/>
    <col width="19.140625" customWidth="1" min="18" max="18"/>
    <col width="15" customWidth="1" min="19" max="19"/>
    <col width="19.7109375" customWidth="1" min="20" max="20"/>
    <col width="24.140625" customWidth="1" min="21" max="21"/>
    <col width="16.7109375" customWidth="1" min="22" max="22"/>
    <col width="16" customWidth="1" min="23" max="23"/>
    <col width="19.42578125" customWidth="1" min="24" max="24"/>
    <col width="9.85546875" customWidth="1" min="25" max="25"/>
    <col width="53.7109375" customWidth="1" min="26" max="26"/>
    <col width="60.140625" customWidth="1" min="27" max="27"/>
    <col width="8.5703125" customWidth="1" min="28" max="28"/>
    <col width="13.28515625" customWidth="1" min="29" max="29"/>
    <col width="7.5703125" customWidth="1" min="30" max="30"/>
    <col width="11.42578125" customWidth="1" min="31" max="31"/>
    <col width="5.28515625" customWidth="1" min="32" max="32"/>
    <col width="36.28515625" customWidth="1" min="34" max="34"/>
    <col width="19" customWidth="1" min="35" max="35"/>
    <col width="10" customWidth="1" min="36" max="36"/>
    <col width="13.28515625" customWidth="1" min="37" max="37"/>
    <col width="9.7109375" customWidth="1" min="38" max="38"/>
    <col width="20.42578125" customWidth="1" min="39" max="39"/>
    <col width="20.42578125" customWidth="1" min="40" max="40"/>
    <col width="22.42578125" customWidth="1" min="41" max="41"/>
    <col width="12.42578125" customWidth="1" min="42" max="42"/>
    <col width="26.85546875" customWidth="1" min="43" max="43"/>
    <col width="11.42578125" customWidth="1" min="44" max="44"/>
    <col width="6.42578125" customWidth="1" min="45" max="45"/>
    <col width="7" customWidth="1" min="46" max="46"/>
    <col width="15.42578125" customWidth="1" min="47" max="47"/>
    <col width="13.7109375" customWidth="1" min="48" max="48"/>
    <col width="13.140625" customWidth="1" min="49" max="49"/>
    <col width="17" customWidth="1" min="50" max="50"/>
    <col width="14.28515625" customWidth="1" min="51" max="51"/>
    <col width="22.7109375" customWidth="1" min="52" max="52"/>
    <col width="9.140625" customWidth="1" min="53" max="53"/>
  </cols>
  <sheetData>
    <row r="1">
      <c r="A1" t="inlineStr">
        <is>
          <t>Previews</t>
        </is>
      </c>
      <c r="B1" t="inlineStr">
        <is>
          <t>Sizes</t>
        </is>
      </c>
      <c r="C1" t="inlineStr">
        <is>
          <t>ShapeName</t>
        </is>
      </c>
      <c r="D1" t="inlineStr">
        <is>
          <t>D</t>
        </is>
      </c>
      <c r="E1" t="inlineStr">
        <is>
          <t>L</t>
        </is>
      </c>
      <c r="F1" t="inlineStr">
        <is>
          <t>OF</t>
        </is>
      </c>
      <c r="G1" t="inlineStr">
        <is>
          <t>ContentGeometryParamDefinition</t>
        </is>
      </c>
      <c r="H1" t="inlineStr">
        <is>
          <t>SizeRecordId_S-ALL</t>
        </is>
      </c>
      <c r="I1" t="inlineStr">
        <is>
          <t>PortName_S-ALL</t>
        </is>
      </c>
      <c r="J1" t="inlineStr">
        <is>
          <t>NominalDiameter_S-ALL</t>
        </is>
      </c>
      <c r="K1" t="inlineStr">
        <is>
          <t>NominalUnit_S-ALL</t>
        </is>
      </c>
      <c r="L1" t="inlineStr">
        <is>
          <t>MatchingPipeOd_S-ALL</t>
        </is>
      </c>
      <c r="M1" t="inlineStr">
        <is>
          <t>EndType_S-ALL</t>
        </is>
      </c>
      <c r="N1" t="inlineStr">
        <is>
          <t>FlangeStd_S-ALL</t>
        </is>
      </c>
      <c r="O1" t="inlineStr">
        <is>
          <t>GasketStd_S-ALL</t>
        </is>
      </c>
      <c r="P1" t="inlineStr">
        <is>
          <t>Facing_S-ALL</t>
        </is>
      </c>
      <c r="Q1" t="inlineStr">
        <is>
          <t>FlangeThickness_S-ALL</t>
        </is>
      </c>
      <c r="R1" t="inlineStr">
        <is>
          <t>PressureClass_S-ALL</t>
        </is>
      </c>
      <c r="S1" t="inlineStr">
        <is>
          <t>Schedule_S-ALL</t>
        </is>
      </c>
      <c r="T1" t="inlineStr">
        <is>
          <t>WallThickness_S-ALL</t>
        </is>
      </c>
      <c r="U1" t="inlineStr">
        <is>
          <t>EngagementLength_S-ALL</t>
        </is>
      </c>
      <c r="V1" t="inlineStr">
        <is>
          <t>LengthUnit_S-ALL</t>
        </is>
      </c>
      <c r="W1" t="inlineStr">
        <is>
          <t>ShortDescription</t>
        </is>
      </c>
      <c r="X1" t="inlineStr">
        <is>
          <t>CompatibleStandard</t>
        </is>
      </c>
      <c r="Y1" t="inlineStr">
        <is>
          <t>DesignStd</t>
        </is>
      </c>
      <c r="Z1" t="inlineStr">
        <is>
          <t>PartFamilyLongDesc</t>
        </is>
      </c>
      <c r="AA1" t="inlineStr">
        <is>
          <t>PartSizeLongDesc</t>
        </is>
      </c>
      <c r="AB1" t="inlineStr">
        <is>
          <t>Material</t>
        </is>
      </c>
      <c r="AC1" t="inlineStr">
        <is>
          <t>MaterialCode</t>
        </is>
      </c>
      <c r="AD1" t="inlineStr">
        <is>
          <t>Weight</t>
        </is>
      </c>
      <c r="AE1" t="inlineStr">
        <is>
          <t>WeightUnit</t>
        </is>
      </c>
      <c r="AF1" t="inlineStr">
        <is>
          <t>SKEY</t>
        </is>
      </c>
      <c r="AG1" t="inlineStr">
        <is>
          <t>TYPE</t>
        </is>
      </c>
      <c r="AH1" t="inlineStr">
        <is>
          <t>PartFamilyId</t>
        </is>
      </c>
      <c r="AI1" t="inlineStr">
        <is>
          <t>CatalogPartFamilyId</t>
        </is>
      </c>
      <c r="AJ1" t="inlineStr">
        <is>
          <t>PartStatus</t>
        </is>
      </c>
      <c r="AK1" t="inlineStr">
        <is>
          <t>Manufacturer</t>
        </is>
      </c>
      <c r="AL1" t="inlineStr">
        <is>
          <t>ItemCode</t>
        </is>
      </c>
      <c r="AM1" t="inlineStr">
        <is>
          <t>DesignPressureFactor</t>
        </is>
      </c>
      <c r="AN1" t="inlineStr">
        <is>
          <t>ConnectionPortCount</t>
        </is>
      </c>
      <c r="AO1" t="inlineStr">
        <is>
          <t>ComponentDesignation</t>
        </is>
      </c>
      <c r="AP1" t="inlineStr">
        <is>
          <t>PartCategory</t>
        </is>
      </c>
      <c r="AQ1" t="inlineStr">
        <is>
          <t>ContentIsoSymbolDefinition</t>
        </is>
      </c>
      <c r="AR1" t="inlineStr">
        <is>
          <t>PartVersion</t>
        </is>
      </c>
      <c r="AS1" t="inlineStr">
        <is>
          <t>Status</t>
        </is>
      </c>
      <c r="AT1" t="inlineStr">
        <is>
          <t>Length</t>
        </is>
      </c>
      <c r="AU1" t="inlineStr">
        <is>
          <t>UseFixedLength</t>
        </is>
      </c>
      <c r="AV1" t="inlineStr">
        <is>
          <t>MinCutLength</t>
        </is>
      </c>
      <c r="AW1" t="inlineStr">
        <is>
          <t>LinearWeight</t>
        </is>
      </c>
      <c r="AX1" t="inlineStr">
        <is>
          <t>LinearWeightUnit</t>
        </is>
      </c>
      <c r="AY1" t="inlineStr">
        <is>
          <t>PnPClassName</t>
        </is>
      </c>
      <c r="AZ1" t="inlineStr">
        <is>
          <t>ExcelFormatVersion_2.0</t>
        </is>
      </c>
    </row>
    <row r="2">
      <c r="A2" t="inlineStr">
        <is>
          <t>Preview</t>
        </is>
      </c>
      <c r="B2" t="inlineStr">
        <is>
          <t>Sizes</t>
        </is>
      </c>
      <c r="C2" t="inlineStr">
        <is>
          <t>Shape Name</t>
        </is>
      </c>
      <c r="D2" t="inlineStr">
        <is>
          <t>D</t>
        </is>
      </c>
      <c r="E2" t="inlineStr">
        <is>
          <t>L</t>
        </is>
      </c>
      <c r="F2" t="inlineStr">
        <is>
          <t>OF</t>
        </is>
      </c>
      <c r="G2" t="inlineStr">
        <is>
          <t>ContentGeometryParamDefinition</t>
        </is>
      </c>
      <c r="H2" t="inlineStr">
        <is>
          <t>SizeRecordId_S-ALL</t>
        </is>
      </c>
      <c r="I2" t="inlineStr">
        <is>
          <t>PortName_S-ALL</t>
        </is>
      </c>
      <c r="J2" t="inlineStr">
        <is>
          <t>NominalDiameter_S-ALL</t>
        </is>
      </c>
      <c r="K2" t="inlineStr">
        <is>
          <t>NominalUnit_S-ALL</t>
        </is>
      </c>
      <c r="L2" t="inlineStr">
        <is>
          <t>MatchingPipeOd_S-ALL</t>
        </is>
      </c>
      <c r="M2" t="inlineStr">
        <is>
          <t>EndType_S-ALL</t>
        </is>
      </c>
      <c r="N2" t="inlineStr">
        <is>
          <t>FlangeStd_S-ALL</t>
        </is>
      </c>
      <c r="O2" t="inlineStr">
        <is>
          <t>GasketStd_S-ALL</t>
        </is>
      </c>
      <c r="P2" t="inlineStr">
        <is>
          <t>Facing_S-ALL</t>
        </is>
      </c>
      <c r="Q2" t="inlineStr">
        <is>
          <t>FlangeThickness_S-ALL</t>
        </is>
      </c>
      <c r="R2" t="inlineStr">
        <is>
          <t>PressureClass_S-ALL</t>
        </is>
      </c>
      <c r="S2" t="inlineStr">
        <is>
          <t>Schedule_S-ALL</t>
        </is>
      </c>
      <c r="T2" t="inlineStr">
        <is>
          <t>WallThickness_S-ALL</t>
        </is>
      </c>
      <c r="U2" t="inlineStr">
        <is>
          <t>EngagementLength_S-ALL</t>
        </is>
      </c>
      <c r="V2" t="inlineStr">
        <is>
          <t>LengthUnit_S-ALL</t>
        </is>
      </c>
      <c r="W2" t="inlineStr">
        <is>
          <t>ShortDescription</t>
        </is>
      </c>
      <c r="X2" t="inlineStr">
        <is>
          <t>CompatibleStandard</t>
        </is>
      </c>
      <c r="Y2" t="inlineStr">
        <is>
          <t>DesignStd</t>
        </is>
      </c>
      <c r="Z2" t="inlineStr">
        <is>
          <t>PartFamilyLongDesc</t>
        </is>
      </c>
      <c r="AA2" t="inlineStr">
        <is>
          <t>PartSizeLongDesc</t>
        </is>
      </c>
      <c r="AB2" t="inlineStr">
        <is>
          <t>Material</t>
        </is>
      </c>
      <c r="AC2" t="inlineStr">
        <is>
          <t>MaterialCode</t>
        </is>
      </c>
      <c r="AD2" t="inlineStr">
        <is>
          <t>Weight</t>
        </is>
      </c>
      <c r="AE2" t="inlineStr">
        <is>
          <t>WeightUnit</t>
        </is>
      </c>
      <c r="AF2" t="inlineStr">
        <is>
          <t>SKEY</t>
        </is>
      </c>
      <c r="AG2" t="inlineStr">
        <is>
          <t>TYPE</t>
        </is>
      </c>
      <c r="AH2" t="inlineStr">
        <is>
          <t>PartFamilyId</t>
        </is>
      </c>
      <c r="AI2" t="inlineStr">
        <is>
          <t>CatalogPartFamilyId</t>
        </is>
      </c>
      <c r="AJ2" t="inlineStr">
        <is>
          <t>PartStatus</t>
        </is>
      </c>
      <c r="AK2" t="inlineStr">
        <is>
          <t>Manufacturer</t>
        </is>
      </c>
      <c r="AL2" t="inlineStr">
        <is>
          <t>ItemCode</t>
        </is>
      </c>
      <c r="AM2" t="inlineStr">
        <is>
          <t>DesignPressureFactor</t>
        </is>
      </c>
      <c r="AN2" t="inlineStr">
        <is>
          <t>ConnectionPortCount</t>
        </is>
      </c>
      <c r="AO2" t="inlineStr">
        <is>
          <t>ComponentDesignation</t>
        </is>
      </c>
      <c r="AP2" t="inlineStr">
        <is>
          <t>PartCategory</t>
        </is>
      </c>
      <c r="AQ2" t="inlineStr">
        <is>
          <t>ContentIsoSymbolDefinition</t>
        </is>
      </c>
      <c r="AR2" t="inlineStr">
        <is>
          <t>PartVersion</t>
        </is>
      </c>
      <c r="AS2" t="inlineStr">
        <is>
          <t>Status</t>
        </is>
      </c>
      <c r="AT2" t="inlineStr">
        <is>
          <t>Length</t>
        </is>
      </c>
      <c r="AU2" t="inlineStr">
        <is>
          <t>UseFixedLength</t>
        </is>
      </c>
      <c r="AV2" t="inlineStr">
        <is>
          <t>MinCutLength</t>
        </is>
      </c>
      <c r="AW2" t="inlineStr">
        <is>
          <t>LinearWeight</t>
        </is>
      </c>
      <c r="AX2" t="inlineStr">
        <is>
          <t>LinearWeightUnit</t>
        </is>
      </c>
      <c r="AY2" t="inlineStr">
        <is>
          <t>PnPClassName</t>
        </is>
      </c>
      <c r="AZ2" t="inlineStr">
        <is>
          <t>ExcelFormatVersion_2.0</t>
        </is>
      </c>
    </row>
    <row r="3">
      <c r="B3" t="inlineStr">
        <is>
          <t>15</t>
        </is>
      </c>
      <c r="C3" t="inlineStr">
        <is>
          <t>CPP</t>
        </is>
      </c>
      <c r="G3" t="inlineStr">
        <is>
          <t>D,L,OF,</t>
        </is>
      </c>
      <c r="H3" t="inlineStr">
        <is>
          <t>cfe7b956-c626-428f-9af2-9f1e4a24a5f4</t>
        </is>
      </c>
      <c r="I3" t="inlineStr">
        <is>
          <t>ALL</t>
        </is>
      </c>
      <c r="J3" t="inlineStr">
        <is>
          <t>15</t>
        </is>
      </c>
      <c r="K3" t="inlineStr">
        <is>
          <t>mm</t>
        </is>
      </c>
      <c r="L3" t="inlineStr">
        <is>
          <t>21.34</t>
        </is>
      </c>
      <c r="M3" t="inlineStr">
        <is>
          <t>PL</t>
        </is>
      </c>
      <c r="S3" t="inlineStr">
        <is>
          <t>40</t>
        </is>
      </c>
      <c r="T3" t="inlineStr">
        <is>
          <t>0</t>
        </is>
      </c>
      <c r="U3" t="inlineStr">
        <is>
          <t>0</t>
        </is>
      </c>
      <c r="V3" t="inlineStr">
        <is>
          <t>mm</t>
        </is>
      </c>
      <c r="W3" t="inlineStr">
        <is>
          <t>PIPE_SCH40</t>
        </is>
      </c>
      <c r="Z3" t="inlineStr">
        <is>
          <t>Pipe Smls Plain Ends CS ASTM A106-B Dims to ASME B36.10</t>
        </is>
      </c>
      <c r="AA3">
        <f>REPLACE(Z3, 10, 0, " DN" &amp; B3)</f>
        <v/>
      </c>
      <c r="AB3" t="inlineStr">
        <is>
          <t>CS</t>
        </is>
      </c>
      <c r="AH3" t="inlineStr">
        <is>
          <t>960fff89-2309-48b7-bc03-e8832da9a462</t>
        </is>
      </c>
      <c r="AN3" t="inlineStr">
        <is>
          <t>2</t>
        </is>
      </c>
      <c r="AP3" t="inlineStr">
        <is>
          <t>Pipes</t>
        </is>
      </c>
      <c r="AY3" t="inlineStr">
        <is>
          <t>Pipe</t>
        </is>
      </c>
    </row>
    <row r="4">
      <c r="B4" t="inlineStr">
        <is>
          <t>20</t>
        </is>
      </c>
      <c r="C4" t="inlineStr">
        <is>
          <t>CPP</t>
        </is>
      </c>
      <c r="G4" t="inlineStr">
        <is>
          <t>D,L,OF,</t>
        </is>
      </c>
      <c r="H4" t="inlineStr">
        <is>
          <t>38b5f01d-45cb-4857-be0d-700c979f5bae</t>
        </is>
      </c>
      <c r="I4" t="inlineStr">
        <is>
          <t>ALL</t>
        </is>
      </c>
      <c r="J4" t="inlineStr">
        <is>
          <t>20</t>
        </is>
      </c>
      <c r="K4" t="inlineStr">
        <is>
          <t>mm</t>
        </is>
      </c>
      <c r="L4" t="inlineStr">
        <is>
          <t>26.67</t>
        </is>
      </c>
      <c r="M4" t="inlineStr">
        <is>
          <t>PL</t>
        </is>
      </c>
      <c r="S4" t="inlineStr">
        <is>
          <t>40</t>
        </is>
      </c>
      <c r="T4" t="inlineStr">
        <is>
          <t>0</t>
        </is>
      </c>
      <c r="U4" t="inlineStr">
        <is>
          <t>0</t>
        </is>
      </c>
      <c r="V4" t="inlineStr">
        <is>
          <t>mm</t>
        </is>
      </c>
      <c r="W4" t="inlineStr">
        <is>
          <t>PIPE_SCH40</t>
        </is>
      </c>
      <c r="Z4" t="inlineStr">
        <is>
          <t>Pipe Smls Plain Ends CS ASTM A106-B Dims to ASME B36.10</t>
        </is>
      </c>
      <c r="AA4">
        <f>REPLACE(Z4, 10, 0, " DN" &amp; B4)</f>
        <v/>
      </c>
      <c r="AB4" t="inlineStr">
        <is>
          <t>CS</t>
        </is>
      </c>
      <c r="AH4" t="inlineStr">
        <is>
          <t>960fff89-2309-48b7-bc03-e8832da9a462</t>
        </is>
      </c>
      <c r="AN4" t="inlineStr">
        <is>
          <t>2</t>
        </is>
      </c>
      <c r="AP4" t="inlineStr">
        <is>
          <t>Pipes</t>
        </is>
      </c>
      <c r="AY4" t="inlineStr">
        <is>
          <t>Pipe</t>
        </is>
      </c>
    </row>
    <row r="5">
      <c r="B5" t="inlineStr">
        <is>
          <t>25</t>
        </is>
      </c>
      <c r="C5" t="inlineStr">
        <is>
          <t>CPP</t>
        </is>
      </c>
      <c r="G5" t="inlineStr">
        <is>
          <t>D,L,OF,</t>
        </is>
      </c>
      <c r="H5" t="inlineStr">
        <is>
          <t>873a7c74-5c37-47f5-beac-70bbfeb92da1</t>
        </is>
      </c>
      <c r="I5" t="inlineStr">
        <is>
          <t>ALL</t>
        </is>
      </c>
      <c r="J5" t="inlineStr">
        <is>
          <t>25</t>
        </is>
      </c>
      <c r="K5" t="inlineStr">
        <is>
          <t>mm</t>
        </is>
      </c>
      <c r="L5" t="inlineStr">
        <is>
          <t>33.4</t>
        </is>
      </c>
      <c r="M5" t="inlineStr">
        <is>
          <t>PL</t>
        </is>
      </c>
      <c r="S5" t="inlineStr">
        <is>
          <t>40</t>
        </is>
      </c>
      <c r="T5" t="inlineStr">
        <is>
          <t>0</t>
        </is>
      </c>
      <c r="U5" t="inlineStr">
        <is>
          <t>0</t>
        </is>
      </c>
      <c r="V5" t="inlineStr">
        <is>
          <t>mm</t>
        </is>
      </c>
      <c r="W5" t="inlineStr">
        <is>
          <t>PIPE_SCH40</t>
        </is>
      </c>
      <c r="Z5" t="inlineStr">
        <is>
          <t>Pipe Smls Plain Ends CS ASTM A106-B Dims to ASME B36.10</t>
        </is>
      </c>
      <c r="AA5">
        <f>REPLACE(Z5, 10, 0, " DN" &amp; B5)</f>
        <v/>
      </c>
      <c r="AB5" t="inlineStr">
        <is>
          <t>CS</t>
        </is>
      </c>
      <c r="AH5" t="inlineStr">
        <is>
          <t>960fff89-2309-48b7-bc03-e8832da9a462</t>
        </is>
      </c>
      <c r="AN5" t="inlineStr">
        <is>
          <t>2</t>
        </is>
      </c>
      <c r="AP5" t="inlineStr">
        <is>
          <t>Pipes</t>
        </is>
      </c>
      <c r="AY5" t="inlineStr">
        <is>
          <t>Pipe</t>
        </is>
      </c>
    </row>
    <row r="6">
      <c r="B6" t="inlineStr">
        <is>
          <t>32</t>
        </is>
      </c>
      <c r="C6" t="inlineStr">
        <is>
          <t>CPP</t>
        </is>
      </c>
      <c r="G6" t="inlineStr">
        <is>
          <t>D,L,OF,</t>
        </is>
      </c>
      <c r="H6" t="inlineStr">
        <is>
          <t>373c1f2e-1733-447e-a520-053c43bf7ba6</t>
        </is>
      </c>
      <c r="I6" t="inlineStr">
        <is>
          <t>ALL</t>
        </is>
      </c>
      <c r="J6" t="inlineStr">
        <is>
          <t>32</t>
        </is>
      </c>
      <c r="K6" t="inlineStr">
        <is>
          <t>mm</t>
        </is>
      </c>
      <c r="L6" t="inlineStr">
        <is>
          <t>42.16</t>
        </is>
      </c>
      <c r="M6" t="inlineStr">
        <is>
          <t>PL</t>
        </is>
      </c>
      <c r="S6" t="inlineStr">
        <is>
          <t>40</t>
        </is>
      </c>
      <c r="T6" t="inlineStr">
        <is>
          <t>0</t>
        </is>
      </c>
      <c r="U6" t="inlineStr">
        <is>
          <t>0</t>
        </is>
      </c>
      <c r="V6" t="inlineStr">
        <is>
          <t>mm</t>
        </is>
      </c>
      <c r="W6" t="inlineStr">
        <is>
          <t>PIPE_SCH40</t>
        </is>
      </c>
      <c r="Z6" t="inlineStr">
        <is>
          <t>Pipe Smls Plain Ends CS ASTM A106-B Dims to ASME B36.10</t>
        </is>
      </c>
      <c r="AA6">
        <f>REPLACE(Z6, 10, 0, " DN" &amp; B6)</f>
        <v/>
      </c>
      <c r="AB6" t="inlineStr">
        <is>
          <t>CS</t>
        </is>
      </c>
      <c r="AH6" t="inlineStr">
        <is>
          <t>960fff89-2309-48b7-bc03-e8832da9a462</t>
        </is>
      </c>
      <c r="AN6" t="inlineStr">
        <is>
          <t>2</t>
        </is>
      </c>
      <c r="AP6" t="inlineStr">
        <is>
          <t>Pipes</t>
        </is>
      </c>
      <c r="AY6" t="inlineStr">
        <is>
          <t>Pipe</t>
        </is>
      </c>
    </row>
    <row r="7">
      <c r="A7" t="inlineStr">
        <is>
          <t>Show details</t>
        </is>
      </c>
      <c r="B7" t="inlineStr">
        <is>
          <t>40</t>
        </is>
      </c>
      <c r="C7" t="inlineStr">
        <is>
          <t>CPP</t>
        </is>
      </c>
      <c r="G7" t="inlineStr">
        <is>
          <t>D,L,OF,</t>
        </is>
      </c>
      <c r="H7" t="inlineStr">
        <is>
          <t>7dfa8e7b-8dfb-453d-bc48-3e08fc3ab132</t>
        </is>
      </c>
      <c r="I7" t="inlineStr">
        <is>
          <t>ALL</t>
        </is>
      </c>
      <c r="J7" t="inlineStr">
        <is>
          <t>40</t>
        </is>
      </c>
      <c r="K7" t="inlineStr">
        <is>
          <t>mm</t>
        </is>
      </c>
      <c r="L7" t="inlineStr">
        <is>
          <t>48.26</t>
        </is>
      </c>
      <c r="M7" t="inlineStr">
        <is>
          <t>PL</t>
        </is>
      </c>
      <c r="S7" t="inlineStr">
        <is>
          <t>40</t>
        </is>
      </c>
      <c r="T7" t="inlineStr">
        <is>
          <t>0</t>
        </is>
      </c>
      <c r="U7" t="inlineStr">
        <is>
          <t>0</t>
        </is>
      </c>
      <c r="V7" t="inlineStr">
        <is>
          <t>mm</t>
        </is>
      </c>
      <c r="W7" t="inlineStr">
        <is>
          <t>PIPE_SCH40</t>
        </is>
      </c>
      <c r="Z7" t="inlineStr">
        <is>
          <t>Pipe Smls Plain Ends CS ASTM A106-B Dims to ASME B36.10</t>
        </is>
      </c>
      <c r="AA7">
        <f>REPLACE(Z7, 10, 0, " DN" &amp; B7)</f>
        <v/>
      </c>
      <c r="AB7" t="inlineStr">
        <is>
          <t>CS</t>
        </is>
      </c>
      <c r="AH7" t="inlineStr">
        <is>
          <t>960fff89-2309-48b7-bc03-e8832da9a462</t>
        </is>
      </c>
      <c r="AN7" t="inlineStr">
        <is>
          <t>2</t>
        </is>
      </c>
      <c r="AP7" t="inlineStr">
        <is>
          <t>Pipes</t>
        </is>
      </c>
      <c r="AY7" t="inlineStr">
        <is>
          <t>Pipe</t>
        </is>
      </c>
    </row>
    <row r="8">
      <c r="B8" t="inlineStr">
        <is>
          <t>50</t>
        </is>
      </c>
      <c r="C8" t="inlineStr">
        <is>
          <t>CPP</t>
        </is>
      </c>
      <c r="G8" t="inlineStr">
        <is>
          <t>D,L,OF,</t>
        </is>
      </c>
      <c r="H8" t="inlineStr">
        <is>
          <t>07381699-0afd-4bcc-bb12-6e78f25f3293</t>
        </is>
      </c>
      <c r="I8" t="inlineStr">
        <is>
          <t>ALL</t>
        </is>
      </c>
      <c r="J8" t="inlineStr">
        <is>
          <t>50</t>
        </is>
      </c>
      <c r="K8" t="inlineStr">
        <is>
          <t>mm</t>
        </is>
      </c>
      <c r="L8" t="inlineStr">
        <is>
          <t>60.32</t>
        </is>
      </c>
      <c r="M8" t="inlineStr">
        <is>
          <t>PL</t>
        </is>
      </c>
      <c r="S8" t="inlineStr">
        <is>
          <t>40</t>
        </is>
      </c>
      <c r="T8" t="inlineStr">
        <is>
          <t>0</t>
        </is>
      </c>
      <c r="U8" t="inlineStr">
        <is>
          <t>0</t>
        </is>
      </c>
      <c r="V8" t="inlineStr">
        <is>
          <t>mm</t>
        </is>
      </c>
      <c r="W8" t="inlineStr">
        <is>
          <t>PIPE_SCH40</t>
        </is>
      </c>
      <c r="Z8" t="inlineStr">
        <is>
          <t>Pipe Smls Plain Ends CS ASTM A106-B Dims to ASME B36.10</t>
        </is>
      </c>
      <c r="AA8">
        <f>REPLACE(Z8, 10, 0, " DN" &amp; B8)</f>
        <v/>
      </c>
      <c r="AB8" t="inlineStr">
        <is>
          <t>CS</t>
        </is>
      </c>
      <c r="AH8" t="inlineStr">
        <is>
          <t>960fff89-2309-48b7-bc03-e8832da9a462</t>
        </is>
      </c>
      <c r="AN8" t="inlineStr">
        <is>
          <t>2</t>
        </is>
      </c>
      <c r="AP8" t="inlineStr">
        <is>
          <t>Pipes</t>
        </is>
      </c>
      <c r="AY8" t="inlineStr">
        <is>
          <t>Pipe</t>
        </is>
      </c>
    </row>
    <row r="9">
      <c r="B9" t="inlineStr">
        <is>
          <t>65</t>
        </is>
      </c>
      <c r="C9" t="inlineStr">
        <is>
          <t>CPP</t>
        </is>
      </c>
      <c r="G9" t="inlineStr">
        <is>
          <t>D,L,OF,</t>
        </is>
      </c>
      <c r="H9" t="inlineStr">
        <is>
          <t>2e89268e-c410-46d3-979c-72536e35c1a2</t>
        </is>
      </c>
      <c r="I9" t="inlineStr">
        <is>
          <t>ALL</t>
        </is>
      </c>
      <c r="J9" t="inlineStr">
        <is>
          <t>65</t>
        </is>
      </c>
      <c r="K9" t="inlineStr">
        <is>
          <t>mm</t>
        </is>
      </c>
      <c r="L9" t="inlineStr">
        <is>
          <t>73.03</t>
        </is>
      </c>
      <c r="M9" t="inlineStr">
        <is>
          <t>PL</t>
        </is>
      </c>
      <c r="S9" t="inlineStr">
        <is>
          <t>40</t>
        </is>
      </c>
      <c r="T9" t="inlineStr">
        <is>
          <t>0</t>
        </is>
      </c>
      <c r="U9" t="inlineStr">
        <is>
          <t>0</t>
        </is>
      </c>
      <c r="V9" t="inlineStr">
        <is>
          <t>mm</t>
        </is>
      </c>
      <c r="W9" t="inlineStr">
        <is>
          <t>PIPE_SCH40</t>
        </is>
      </c>
      <c r="Z9" t="inlineStr">
        <is>
          <t>Pipe Smls Plain Ends CS ASTM A106-B Dims to ASME B36.10</t>
        </is>
      </c>
      <c r="AA9">
        <f>REPLACE(Z9, 10, 0, " DN" &amp; B9)</f>
        <v/>
      </c>
      <c r="AB9" t="inlineStr">
        <is>
          <t>CS</t>
        </is>
      </c>
      <c r="AH9" t="inlineStr">
        <is>
          <t>960fff89-2309-48b7-bc03-e8832da9a462</t>
        </is>
      </c>
      <c r="AN9" t="inlineStr">
        <is>
          <t>2</t>
        </is>
      </c>
      <c r="AP9" t="inlineStr">
        <is>
          <t>Pipes</t>
        </is>
      </c>
      <c r="AY9" t="inlineStr">
        <is>
          <t>Pipe</t>
        </is>
      </c>
    </row>
    <row r="10">
      <c r="B10" t="inlineStr">
        <is>
          <t>80</t>
        </is>
      </c>
      <c r="C10" t="inlineStr">
        <is>
          <t>CPP</t>
        </is>
      </c>
      <c r="G10" t="inlineStr">
        <is>
          <t>D,L,OF,</t>
        </is>
      </c>
      <c r="H10" t="inlineStr">
        <is>
          <t>e4e6de7d-b129-42f8-b9b7-4bb4bbf58040</t>
        </is>
      </c>
      <c r="I10" t="inlineStr">
        <is>
          <t>ALL</t>
        </is>
      </c>
      <c r="J10" t="inlineStr">
        <is>
          <t>80</t>
        </is>
      </c>
      <c r="K10" t="inlineStr">
        <is>
          <t>mm</t>
        </is>
      </c>
      <c r="L10" t="inlineStr">
        <is>
          <t>88.9</t>
        </is>
      </c>
      <c r="M10" t="inlineStr">
        <is>
          <t>PL</t>
        </is>
      </c>
      <c r="S10" t="inlineStr">
        <is>
          <t>40</t>
        </is>
      </c>
      <c r="T10" t="inlineStr">
        <is>
          <t>0</t>
        </is>
      </c>
      <c r="U10" t="inlineStr">
        <is>
          <t>0</t>
        </is>
      </c>
      <c r="V10" t="inlineStr">
        <is>
          <t>mm</t>
        </is>
      </c>
      <c r="W10" t="inlineStr">
        <is>
          <t>PIPE_SCH40</t>
        </is>
      </c>
      <c r="Z10" t="inlineStr">
        <is>
          <t>Pipe Smls Plain Ends CS ASTM A106-B Dims to ASME B36.10</t>
        </is>
      </c>
      <c r="AA10">
        <f>REPLACE(Z10, 10, 0, " DN" &amp; B10)</f>
        <v/>
      </c>
      <c r="AB10" t="inlineStr">
        <is>
          <t>CS</t>
        </is>
      </c>
      <c r="AH10" t="inlineStr">
        <is>
          <t>960fff89-2309-48b7-bc03-e8832da9a462</t>
        </is>
      </c>
      <c r="AN10" t="inlineStr">
        <is>
          <t>2</t>
        </is>
      </c>
      <c r="AP10" t="inlineStr">
        <is>
          <t>Pipes</t>
        </is>
      </c>
      <c r="AY10" t="inlineStr">
        <is>
          <t>Pipe</t>
        </is>
      </c>
    </row>
    <row r="11">
      <c r="B11" t="inlineStr">
        <is>
          <t>90</t>
        </is>
      </c>
      <c r="C11" t="inlineStr">
        <is>
          <t>CPP</t>
        </is>
      </c>
      <c r="G11" t="inlineStr">
        <is>
          <t>D,L,OF,</t>
        </is>
      </c>
      <c r="H11" t="inlineStr">
        <is>
          <t>cea8a81c-3914-4cd3-abe5-ffbf4128cc05</t>
        </is>
      </c>
      <c r="I11" t="inlineStr">
        <is>
          <t>ALL</t>
        </is>
      </c>
      <c r="J11" t="inlineStr">
        <is>
          <t>90</t>
        </is>
      </c>
      <c r="K11" t="inlineStr">
        <is>
          <t>mm</t>
        </is>
      </c>
      <c r="L11" t="inlineStr">
        <is>
          <t>90</t>
        </is>
      </c>
      <c r="M11" t="inlineStr">
        <is>
          <t>PL</t>
        </is>
      </c>
      <c r="S11" t="inlineStr">
        <is>
          <t>40</t>
        </is>
      </c>
      <c r="T11" t="inlineStr">
        <is>
          <t>0</t>
        </is>
      </c>
      <c r="U11" t="inlineStr">
        <is>
          <t>0</t>
        </is>
      </c>
      <c r="V11" t="inlineStr">
        <is>
          <t>mm</t>
        </is>
      </c>
      <c r="W11" t="inlineStr">
        <is>
          <t>PIPE_SCH40</t>
        </is>
      </c>
      <c r="Z11" t="inlineStr">
        <is>
          <t>Pipe Smls Plain Ends CS ASTM A106-B Dims to ASME B36.10</t>
        </is>
      </c>
      <c r="AA11">
        <f>REPLACE(Z11, 10, 0, " DN" &amp; B11)</f>
        <v/>
      </c>
      <c r="AB11" t="inlineStr">
        <is>
          <t>CS</t>
        </is>
      </c>
      <c r="AH11" t="inlineStr">
        <is>
          <t>960fff89-2309-48b7-bc03-e8832da9a462</t>
        </is>
      </c>
      <c r="AN11" t="inlineStr">
        <is>
          <t>2</t>
        </is>
      </c>
      <c r="AP11" t="inlineStr">
        <is>
          <t>Pipes</t>
        </is>
      </c>
      <c r="AY11" t="inlineStr">
        <is>
          <t>Pipe</t>
        </is>
      </c>
    </row>
    <row r="12">
      <c r="B12" t="inlineStr">
        <is>
          <t>100</t>
        </is>
      </c>
      <c r="C12" t="inlineStr">
        <is>
          <t>CPP</t>
        </is>
      </c>
      <c r="G12" t="inlineStr">
        <is>
          <t>D,L,OF,</t>
        </is>
      </c>
      <c r="H12" t="inlineStr">
        <is>
          <t>2c474417-b843-4069-9a6d-ad287b2884b8</t>
        </is>
      </c>
      <c r="I12" t="inlineStr">
        <is>
          <t>ALL</t>
        </is>
      </c>
      <c r="J12" t="inlineStr">
        <is>
          <t>100</t>
        </is>
      </c>
      <c r="K12" t="inlineStr">
        <is>
          <t>mm</t>
        </is>
      </c>
      <c r="L12" t="inlineStr">
        <is>
          <t>114.3</t>
        </is>
      </c>
      <c r="M12" t="inlineStr">
        <is>
          <t>PL</t>
        </is>
      </c>
      <c r="S12" t="inlineStr">
        <is>
          <t>40</t>
        </is>
      </c>
      <c r="T12" t="inlineStr">
        <is>
          <t>0</t>
        </is>
      </c>
      <c r="U12" t="inlineStr">
        <is>
          <t>0</t>
        </is>
      </c>
      <c r="V12" t="inlineStr">
        <is>
          <t>mm</t>
        </is>
      </c>
      <c r="W12" t="inlineStr">
        <is>
          <t>PIPE_SCH40</t>
        </is>
      </c>
      <c r="Z12" t="inlineStr">
        <is>
          <t>Pipe Smls Plain Ends CS ASTM A106-B Dims to ASME B36.10</t>
        </is>
      </c>
      <c r="AA12">
        <f>REPLACE(Z12, 10, 0, " DN" &amp; B12)</f>
        <v/>
      </c>
      <c r="AB12" t="inlineStr">
        <is>
          <t>CS</t>
        </is>
      </c>
      <c r="AH12" t="inlineStr">
        <is>
          <t>960fff89-2309-48b7-bc03-e8832da9a462</t>
        </is>
      </c>
      <c r="AN12" t="inlineStr">
        <is>
          <t>2</t>
        </is>
      </c>
      <c r="AP12" t="inlineStr">
        <is>
          <t>Pipes</t>
        </is>
      </c>
      <c r="AY12" t="inlineStr">
        <is>
          <t>Pipe</t>
        </is>
      </c>
    </row>
    <row r="13">
      <c r="B13" t="inlineStr">
        <is>
          <t>125</t>
        </is>
      </c>
      <c r="C13" t="inlineStr">
        <is>
          <t>CPP</t>
        </is>
      </c>
      <c r="G13" t="inlineStr">
        <is>
          <t>D,L,OF,</t>
        </is>
      </c>
      <c r="H13" t="inlineStr">
        <is>
          <t>5872a79a-0b88-4fed-92bc-966447471efb</t>
        </is>
      </c>
      <c r="I13" t="inlineStr">
        <is>
          <t>ALL</t>
        </is>
      </c>
      <c r="J13" t="inlineStr">
        <is>
          <t>125</t>
        </is>
      </c>
      <c r="K13" t="inlineStr">
        <is>
          <t>mm</t>
        </is>
      </c>
      <c r="L13" t="inlineStr">
        <is>
          <t>125</t>
        </is>
      </c>
      <c r="M13" t="inlineStr">
        <is>
          <t>PL</t>
        </is>
      </c>
      <c r="S13" t="inlineStr">
        <is>
          <t>40</t>
        </is>
      </c>
      <c r="T13" t="inlineStr">
        <is>
          <t>0</t>
        </is>
      </c>
      <c r="U13" t="inlineStr">
        <is>
          <t>0</t>
        </is>
      </c>
      <c r="V13" t="inlineStr">
        <is>
          <t>mm</t>
        </is>
      </c>
      <c r="W13" t="inlineStr">
        <is>
          <t>PIPE_SCH40</t>
        </is>
      </c>
      <c r="Z13" t="inlineStr">
        <is>
          <t>Pipe Smls Plain Ends CS ASTM A106-B Dims to ASME B36.10</t>
        </is>
      </c>
      <c r="AA13">
        <f>REPLACE(Z13, 10, 0, " DN" &amp; B13)</f>
        <v/>
      </c>
      <c r="AB13" t="inlineStr">
        <is>
          <t>CS</t>
        </is>
      </c>
      <c r="AH13" t="inlineStr">
        <is>
          <t>960fff89-2309-48b7-bc03-e8832da9a462</t>
        </is>
      </c>
      <c r="AN13" t="inlineStr">
        <is>
          <t>2</t>
        </is>
      </c>
      <c r="AP13" t="inlineStr">
        <is>
          <t>Pipes</t>
        </is>
      </c>
      <c r="AY13" t="inlineStr">
        <is>
          <t>Pipe</t>
        </is>
      </c>
    </row>
    <row r="14">
      <c r="B14" t="inlineStr">
        <is>
          <t>150</t>
        </is>
      </c>
      <c r="C14" t="inlineStr">
        <is>
          <t>CPP</t>
        </is>
      </c>
      <c r="G14" t="inlineStr">
        <is>
          <t>D,L,OF,</t>
        </is>
      </c>
      <c r="H14" t="inlineStr">
        <is>
          <t>8500dd92-36f6-47de-836a-651ffdcd3394</t>
        </is>
      </c>
      <c r="I14" t="inlineStr">
        <is>
          <t>ALL</t>
        </is>
      </c>
      <c r="J14" t="inlineStr">
        <is>
          <t>150</t>
        </is>
      </c>
      <c r="K14" t="inlineStr">
        <is>
          <t>mm</t>
        </is>
      </c>
      <c r="L14" t="inlineStr">
        <is>
          <t>168.3</t>
        </is>
      </c>
      <c r="M14" t="inlineStr">
        <is>
          <t>PL</t>
        </is>
      </c>
      <c r="S14" t="inlineStr">
        <is>
          <t>40</t>
        </is>
      </c>
      <c r="T14" t="inlineStr">
        <is>
          <t>0</t>
        </is>
      </c>
      <c r="U14" t="inlineStr">
        <is>
          <t>0</t>
        </is>
      </c>
      <c r="V14" t="inlineStr">
        <is>
          <t>mm</t>
        </is>
      </c>
      <c r="W14" t="inlineStr">
        <is>
          <t>PIPE_SCH40</t>
        </is>
      </c>
      <c r="Z14" t="inlineStr">
        <is>
          <t>Pipe Smls Plain Ends CS ASTM A106-B Dims to ASME B36.10</t>
        </is>
      </c>
      <c r="AA14">
        <f>REPLACE(Z14, 10, 0, " DN" &amp; B14)</f>
        <v/>
      </c>
      <c r="AB14" t="inlineStr">
        <is>
          <t>CS</t>
        </is>
      </c>
      <c r="AH14" t="inlineStr">
        <is>
          <t>960fff89-2309-48b7-bc03-e8832da9a462</t>
        </is>
      </c>
      <c r="AN14" t="inlineStr">
        <is>
          <t>2</t>
        </is>
      </c>
      <c r="AP14" t="inlineStr">
        <is>
          <t>Pipes</t>
        </is>
      </c>
      <c r="AY14" t="inlineStr">
        <is>
          <t>Pipe</t>
        </is>
      </c>
    </row>
    <row r="15">
      <c r="B15" t="inlineStr">
        <is>
          <t>200</t>
        </is>
      </c>
      <c r="C15" t="inlineStr">
        <is>
          <t>CPP</t>
        </is>
      </c>
      <c r="G15" t="inlineStr">
        <is>
          <t>D,L,OF,</t>
        </is>
      </c>
      <c r="H15" t="inlineStr">
        <is>
          <t>8a47aa99-2ee2-447c-9320-53cd83e6019f</t>
        </is>
      </c>
      <c r="I15" t="inlineStr">
        <is>
          <t>ALL</t>
        </is>
      </c>
      <c r="J15" t="inlineStr">
        <is>
          <t>200</t>
        </is>
      </c>
      <c r="K15" t="inlineStr">
        <is>
          <t>mm</t>
        </is>
      </c>
      <c r="L15" t="inlineStr">
        <is>
          <t>219.1</t>
        </is>
      </c>
      <c r="M15" t="inlineStr">
        <is>
          <t>PL</t>
        </is>
      </c>
      <c r="S15" t="inlineStr">
        <is>
          <t>40</t>
        </is>
      </c>
      <c r="T15" t="inlineStr">
        <is>
          <t>0</t>
        </is>
      </c>
      <c r="U15" t="inlineStr">
        <is>
          <t>0</t>
        </is>
      </c>
      <c r="V15" t="inlineStr">
        <is>
          <t>mm</t>
        </is>
      </c>
      <c r="W15" t="inlineStr">
        <is>
          <t>PIPE_SCH40</t>
        </is>
      </c>
      <c r="Z15" t="inlineStr">
        <is>
          <t>Pipe Smls Plain Ends CS ASTM A106-B Dims to ASME B36.10</t>
        </is>
      </c>
      <c r="AA15">
        <f>REPLACE(Z15, 10, 0, " DN" &amp; B15)</f>
        <v/>
      </c>
      <c r="AB15" t="inlineStr">
        <is>
          <t>CS</t>
        </is>
      </c>
      <c r="AH15" t="inlineStr">
        <is>
          <t>960fff89-2309-48b7-bc03-e8832da9a462</t>
        </is>
      </c>
      <c r="AN15" t="inlineStr">
        <is>
          <t>2</t>
        </is>
      </c>
      <c r="AP15" t="inlineStr">
        <is>
          <t>Pipes</t>
        </is>
      </c>
      <c r="AY15" t="inlineStr">
        <is>
          <t>Pipe</t>
        </is>
      </c>
    </row>
    <row r="16">
      <c r="B16" t="inlineStr">
        <is>
          <t>250</t>
        </is>
      </c>
      <c r="C16" t="inlineStr">
        <is>
          <t>CPP</t>
        </is>
      </c>
      <c r="G16" t="inlineStr">
        <is>
          <t>D,L,OF,</t>
        </is>
      </c>
      <c r="H16" t="inlineStr">
        <is>
          <t>1bcb6a51-d898-486b-b234-0be5028515b2</t>
        </is>
      </c>
      <c r="I16" t="inlineStr">
        <is>
          <t>ALL</t>
        </is>
      </c>
      <c r="J16" t="inlineStr">
        <is>
          <t>250</t>
        </is>
      </c>
      <c r="K16" t="inlineStr">
        <is>
          <t>mm</t>
        </is>
      </c>
      <c r="L16" t="inlineStr">
        <is>
          <t>273.1</t>
        </is>
      </c>
      <c r="M16" t="inlineStr">
        <is>
          <t>PL</t>
        </is>
      </c>
      <c r="S16" t="inlineStr">
        <is>
          <t>40</t>
        </is>
      </c>
      <c r="T16" t="inlineStr">
        <is>
          <t>0</t>
        </is>
      </c>
      <c r="U16" t="inlineStr">
        <is>
          <t>0</t>
        </is>
      </c>
      <c r="V16" t="inlineStr">
        <is>
          <t>mm</t>
        </is>
      </c>
      <c r="W16" t="inlineStr">
        <is>
          <t>PIPE_SCH40</t>
        </is>
      </c>
      <c r="Z16" t="inlineStr">
        <is>
          <t>Pipe Smls Plain Ends CS ASTM A106-B Dims to ASME B36.10</t>
        </is>
      </c>
      <c r="AA16">
        <f>REPLACE(Z16, 10, 0, " DN" &amp; B16)</f>
        <v/>
      </c>
      <c r="AB16" t="inlineStr">
        <is>
          <t>CS</t>
        </is>
      </c>
      <c r="AH16" t="inlineStr">
        <is>
          <t>960fff89-2309-48b7-bc03-e8832da9a462</t>
        </is>
      </c>
      <c r="AN16" t="inlineStr">
        <is>
          <t>2</t>
        </is>
      </c>
      <c r="AP16" t="inlineStr">
        <is>
          <t>Pipes</t>
        </is>
      </c>
      <c r="AY16" t="inlineStr">
        <is>
          <t>Pipe</t>
        </is>
      </c>
    </row>
    <row r="17">
      <c r="B17" t="inlineStr">
        <is>
          <t>300</t>
        </is>
      </c>
      <c r="C17" t="inlineStr">
        <is>
          <t>CPP</t>
        </is>
      </c>
      <c r="G17" t="inlineStr">
        <is>
          <t>D,L,OF,</t>
        </is>
      </c>
      <c r="H17" t="inlineStr">
        <is>
          <t>5402f9b3-4daf-4a5f-b45d-b72a78ffa3cc</t>
        </is>
      </c>
      <c r="I17" t="inlineStr">
        <is>
          <t>ALL</t>
        </is>
      </c>
      <c r="J17" t="inlineStr">
        <is>
          <t>300</t>
        </is>
      </c>
      <c r="K17" t="inlineStr">
        <is>
          <t>mm</t>
        </is>
      </c>
      <c r="L17" t="inlineStr">
        <is>
          <t>323.9</t>
        </is>
      </c>
      <c r="M17" t="inlineStr">
        <is>
          <t>PL</t>
        </is>
      </c>
      <c r="S17" t="inlineStr">
        <is>
          <t>40</t>
        </is>
      </c>
      <c r="T17" t="inlineStr">
        <is>
          <t>0</t>
        </is>
      </c>
      <c r="U17" t="inlineStr">
        <is>
          <t>0</t>
        </is>
      </c>
      <c r="V17" t="inlineStr">
        <is>
          <t>mm</t>
        </is>
      </c>
      <c r="W17" t="inlineStr">
        <is>
          <t>PIPE_SCH40</t>
        </is>
      </c>
      <c r="Z17" t="inlineStr">
        <is>
          <t>Pipe Smls Plain Ends CS ASTM A106-B Dims to ASME B36.10</t>
        </is>
      </c>
      <c r="AA17">
        <f>REPLACE(Z17, 10, 0, " DN" &amp; B17)</f>
        <v/>
      </c>
      <c r="AB17" t="inlineStr">
        <is>
          <t>CS</t>
        </is>
      </c>
      <c r="AH17" t="inlineStr">
        <is>
          <t>960fff89-2309-48b7-bc03-e8832da9a462</t>
        </is>
      </c>
      <c r="AN17" t="inlineStr">
        <is>
          <t>2</t>
        </is>
      </c>
      <c r="AP17" t="inlineStr">
        <is>
          <t>Pipes</t>
        </is>
      </c>
      <c r="AY17" t="inlineStr">
        <is>
          <t>Pipe</t>
        </is>
      </c>
    </row>
    <row r="18">
      <c r="B18" t="inlineStr">
        <is>
          <t>350</t>
        </is>
      </c>
      <c r="C18" t="inlineStr">
        <is>
          <t>CPP</t>
        </is>
      </c>
      <c r="G18" t="inlineStr">
        <is>
          <t>D,L,OF,</t>
        </is>
      </c>
      <c r="H18" t="inlineStr">
        <is>
          <t>14e66372-819e-4c9f-b9a8-eebce1c07685</t>
        </is>
      </c>
      <c r="I18" t="inlineStr">
        <is>
          <t>ALL</t>
        </is>
      </c>
      <c r="J18" t="inlineStr">
        <is>
          <t>350</t>
        </is>
      </c>
      <c r="K18" t="inlineStr">
        <is>
          <t>mm</t>
        </is>
      </c>
      <c r="L18" t="inlineStr">
        <is>
          <t>355.6</t>
        </is>
      </c>
      <c r="M18" t="inlineStr">
        <is>
          <t>PL</t>
        </is>
      </c>
      <c r="S18" t="inlineStr">
        <is>
          <t>40</t>
        </is>
      </c>
      <c r="T18" t="inlineStr">
        <is>
          <t>0</t>
        </is>
      </c>
      <c r="U18" t="inlineStr">
        <is>
          <t>0</t>
        </is>
      </c>
      <c r="V18" t="inlineStr">
        <is>
          <t>mm</t>
        </is>
      </c>
      <c r="W18" t="inlineStr">
        <is>
          <t>PIPE_SCH40</t>
        </is>
      </c>
      <c r="Z18" t="inlineStr">
        <is>
          <t>Pipe Smls Plain Ends CS ASTM A106-B Dims to ASME B36.10</t>
        </is>
      </c>
      <c r="AA18">
        <f>REPLACE(Z18, 10, 0, " DN" &amp; B18)</f>
        <v/>
      </c>
      <c r="AB18" t="inlineStr">
        <is>
          <t>CS</t>
        </is>
      </c>
      <c r="AH18" t="inlineStr">
        <is>
          <t>960fff89-2309-48b7-bc03-e8832da9a462</t>
        </is>
      </c>
      <c r="AN18" t="inlineStr">
        <is>
          <t>2</t>
        </is>
      </c>
      <c r="AP18" t="inlineStr">
        <is>
          <t>Pipes</t>
        </is>
      </c>
      <c r="AY18" t="inlineStr">
        <is>
          <t>Pipe</t>
        </is>
      </c>
    </row>
    <row r="19">
      <c r="B19" t="inlineStr">
        <is>
          <t>400</t>
        </is>
      </c>
      <c r="C19" t="inlineStr">
        <is>
          <t>CPP</t>
        </is>
      </c>
      <c r="G19" t="inlineStr">
        <is>
          <t>D,L,OF,</t>
        </is>
      </c>
      <c r="H19" t="inlineStr">
        <is>
          <t>4b117d95-814f-43d0-b1ec-508bb4e16cdc</t>
        </is>
      </c>
      <c r="I19" t="inlineStr">
        <is>
          <t>ALL</t>
        </is>
      </c>
      <c r="J19" t="inlineStr">
        <is>
          <t>400</t>
        </is>
      </c>
      <c r="K19" t="inlineStr">
        <is>
          <t>mm</t>
        </is>
      </c>
      <c r="L19" t="inlineStr">
        <is>
          <t>406.4</t>
        </is>
      </c>
      <c r="M19" t="inlineStr">
        <is>
          <t>PL</t>
        </is>
      </c>
      <c r="S19" t="inlineStr">
        <is>
          <t>40</t>
        </is>
      </c>
      <c r="T19" t="inlineStr">
        <is>
          <t>0</t>
        </is>
      </c>
      <c r="U19" t="inlineStr">
        <is>
          <t>0</t>
        </is>
      </c>
      <c r="V19" t="inlineStr">
        <is>
          <t>mm</t>
        </is>
      </c>
      <c r="W19" t="inlineStr">
        <is>
          <t>PIPE_SCH40</t>
        </is>
      </c>
      <c r="Z19" t="inlineStr">
        <is>
          <t>Pipe Smls Plain Ends CS ASTM A106-B Dims to ASME B36.10</t>
        </is>
      </c>
      <c r="AA19">
        <f>REPLACE(Z19, 10, 0, " DN" &amp; B19)</f>
        <v/>
      </c>
      <c r="AB19" t="inlineStr">
        <is>
          <t>CS</t>
        </is>
      </c>
      <c r="AH19" t="inlineStr">
        <is>
          <t>960fff89-2309-48b7-bc03-e8832da9a462</t>
        </is>
      </c>
      <c r="AN19" t="inlineStr">
        <is>
          <t>2</t>
        </is>
      </c>
      <c r="AP19" t="inlineStr">
        <is>
          <t>Pipes</t>
        </is>
      </c>
      <c r="AY19" t="inlineStr">
        <is>
          <t>Pipe</t>
        </is>
      </c>
    </row>
    <row r="20">
      <c r="B20" t="inlineStr">
        <is>
          <t>450</t>
        </is>
      </c>
      <c r="C20" t="inlineStr">
        <is>
          <t>CPP</t>
        </is>
      </c>
      <c r="G20" t="inlineStr">
        <is>
          <t>D,L,OF,</t>
        </is>
      </c>
      <c r="H20" t="inlineStr">
        <is>
          <t>5e02ef38-21a3-4ad7-b511-82f4276fe151</t>
        </is>
      </c>
      <c r="I20" t="inlineStr">
        <is>
          <t>ALL</t>
        </is>
      </c>
      <c r="J20" t="inlineStr">
        <is>
          <t>450</t>
        </is>
      </c>
      <c r="K20" t="inlineStr">
        <is>
          <t>mm</t>
        </is>
      </c>
      <c r="L20" t="inlineStr">
        <is>
          <t>457.2</t>
        </is>
      </c>
      <c r="M20" t="inlineStr">
        <is>
          <t>PL</t>
        </is>
      </c>
      <c r="S20" t="inlineStr">
        <is>
          <t>40</t>
        </is>
      </c>
      <c r="T20" t="inlineStr">
        <is>
          <t>0</t>
        </is>
      </c>
      <c r="U20" t="inlineStr">
        <is>
          <t>0</t>
        </is>
      </c>
      <c r="V20" t="inlineStr">
        <is>
          <t>mm</t>
        </is>
      </c>
      <c r="W20" t="inlineStr">
        <is>
          <t>PIPE_SCH40</t>
        </is>
      </c>
      <c r="Z20" t="inlineStr">
        <is>
          <t>Pipe Smls Plain Ends CS ASTM A106-B Dims to ASME B36.10</t>
        </is>
      </c>
      <c r="AA20">
        <f>REPLACE(Z20, 10, 0, " DN" &amp; B20)</f>
        <v/>
      </c>
      <c r="AB20" t="inlineStr">
        <is>
          <t>CS</t>
        </is>
      </c>
      <c r="AH20" t="inlineStr">
        <is>
          <t>960fff89-2309-48b7-bc03-e8832da9a462</t>
        </is>
      </c>
      <c r="AN20" t="inlineStr">
        <is>
          <t>2</t>
        </is>
      </c>
      <c r="AP20" t="inlineStr">
        <is>
          <t>Pipes</t>
        </is>
      </c>
      <c r="AY20" t="inlineStr">
        <is>
          <t>Pipe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cols>
    <col width="9.140625" customWidth="1" min="1" max="1"/>
    <col width="5.42578125" customWidth="1" min="2" max="2"/>
    <col width="12.140625" customWidth="1" min="3" max="3"/>
    <col width="32.42578125" customWidth="1" min="4" max="4"/>
    <col width="38.140625" customWidth="1" min="5" max="5"/>
    <col width="15.85546875" customWidth="1" min="6" max="6"/>
    <col width="23" customWidth="1" min="7" max="7"/>
    <col width="18.42578125" customWidth="1" min="8" max="8"/>
    <col width="22" customWidth="1" min="9" max="9"/>
    <col width="14.42578125" customWidth="1" min="10" max="10"/>
    <col width="15.5703125" customWidth="1" min="11" max="11"/>
    <col width="15.85546875" customWidth="1" min="12" max="12"/>
    <col width="12.28515625" customWidth="1" min="13" max="13"/>
    <col width="21.5703125" customWidth="1" min="14" max="14"/>
    <col width="19.140625" customWidth="1" min="15" max="15"/>
    <col width="15" customWidth="1" min="16" max="16"/>
    <col width="19.7109375" customWidth="1" min="17" max="17"/>
    <col width="24.140625" customWidth="1" min="18" max="18"/>
    <col width="16.7109375" customWidth="1" min="19" max="19"/>
    <col width="16" customWidth="1" min="20" max="20"/>
    <col width="19.42578125" customWidth="1" min="21" max="21"/>
    <col width="9.85546875" customWidth="1" min="22" max="22"/>
    <col width="41" customWidth="1" min="23" max="23"/>
    <col width="47.42578125" customWidth="1" min="24" max="24"/>
    <col width="8.5703125" customWidth="1" min="25" max="25"/>
    <col width="13.28515625" customWidth="1" min="26" max="26"/>
    <col width="7.5703125" customWidth="1" min="27" max="27"/>
    <col width="11.42578125" customWidth="1" min="28" max="28"/>
    <col width="5.28515625" customWidth="1" min="29" max="29"/>
    <col width="36.7109375" customWidth="1" min="31" max="31"/>
    <col width="19" customWidth="1" min="32" max="32"/>
    <col width="10" customWidth="1" min="33" max="33"/>
    <col width="13.28515625" customWidth="1" min="34" max="34"/>
    <col width="9.7109375" customWidth="1" min="35" max="35"/>
    <col width="20.42578125" customWidth="1" min="36" max="36"/>
    <col width="20.42578125" customWidth="1" min="37" max="37"/>
    <col width="22.42578125" customWidth="1" min="38" max="38"/>
    <col width="12.42578125" customWidth="1" min="39" max="39"/>
    <col width="26.85546875" customWidth="1" min="40" max="40"/>
    <col width="11.42578125" customWidth="1" min="41" max="41"/>
    <col width="6.42578125" customWidth="1" min="42" max="42"/>
    <col width="8.140625" customWidth="1" min="43" max="43"/>
    <col width="12.85546875" customWidth="1" min="44" max="44"/>
    <col width="8.28515625" customWidth="1" min="45" max="45"/>
    <col width="7" customWidth="1" min="46" max="46"/>
    <col width="19.7109375" customWidth="1" min="47" max="47"/>
    <col width="15.28515625" customWidth="1" min="48" max="48"/>
    <col width="18" customWidth="1" min="49" max="49"/>
    <col width="14.28515625" customWidth="1" min="50" max="50"/>
    <col width="22.7109375" customWidth="1" min="51" max="51"/>
    <col width="9.140625" customWidth="1" min="52" max="52"/>
  </cols>
  <sheetData>
    <row r="1">
      <c r="A1" t="inlineStr">
        <is>
          <t>Previews</t>
        </is>
      </c>
      <c r="B1" t="inlineStr">
        <is>
          <t>Sizes</t>
        </is>
      </c>
      <c r="C1" t="inlineStr">
        <is>
          <t>ShapeName</t>
        </is>
      </c>
      <c r="D1" t="inlineStr">
        <is>
          <t>ContentGeometryParamDefinition</t>
        </is>
      </c>
      <c r="E1" t="inlineStr">
        <is>
          <t>SizeRecordId_S-ALL</t>
        </is>
      </c>
      <c r="F1" t="inlineStr">
        <is>
          <t>PortName_S-ALL</t>
        </is>
      </c>
      <c r="G1" t="inlineStr">
        <is>
          <t>NominalDiameter_S-ALL</t>
        </is>
      </c>
      <c r="H1" t="inlineStr">
        <is>
          <t>NominalUnit_S-ALL</t>
        </is>
      </c>
      <c r="I1" t="inlineStr">
        <is>
          <t>MatchingPipeOd_S-ALL</t>
        </is>
      </c>
      <c r="J1" t="inlineStr">
        <is>
          <t>EndType_S-ALL</t>
        </is>
      </c>
      <c r="K1" t="inlineStr">
        <is>
          <t>FlangeStd_S-ALL</t>
        </is>
      </c>
      <c r="L1" t="inlineStr">
        <is>
          <t>GasketStd_S-ALL</t>
        </is>
      </c>
      <c r="M1" t="inlineStr">
        <is>
          <t>Facing_S-ALL</t>
        </is>
      </c>
      <c r="N1" t="inlineStr">
        <is>
          <t>FlangeThickness_S-ALL</t>
        </is>
      </c>
      <c r="O1" t="inlineStr">
        <is>
          <t>PressureClass_S-ALL</t>
        </is>
      </c>
      <c r="P1" t="inlineStr">
        <is>
          <t>Schedule_S-ALL</t>
        </is>
      </c>
      <c r="Q1" t="inlineStr">
        <is>
          <t>WallThickness_S-ALL</t>
        </is>
      </c>
      <c r="R1" t="inlineStr">
        <is>
          <t>EngagementLength_S-ALL</t>
        </is>
      </c>
      <c r="S1" t="inlineStr">
        <is>
          <t>LengthUnit_S-ALL</t>
        </is>
      </c>
      <c r="T1" t="inlineStr">
        <is>
          <t>ShortDescription</t>
        </is>
      </c>
      <c r="U1" t="inlineStr">
        <is>
          <t>CompatibleStandard</t>
        </is>
      </c>
      <c r="V1" t="inlineStr">
        <is>
          <t>DesignStd</t>
        </is>
      </c>
      <c r="W1" t="inlineStr">
        <is>
          <t>PartFamilyLongDesc</t>
        </is>
      </c>
      <c r="X1" t="inlineStr">
        <is>
          <t>PartSizeLongDesc</t>
        </is>
      </c>
      <c r="Y1" t="inlineStr">
        <is>
          <t>Material</t>
        </is>
      </c>
      <c r="Z1" t="inlineStr">
        <is>
          <t>MaterialCode</t>
        </is>
      </c>
      <c r="AA1" t="inlineStr">
        <is>
          <t>Weight</t>
        </is>
      </c>
      <c r="AB1" t="inlineStr">
        <is>
          <t>WeightUnit</t>
        </is>
      </c>
      <c r="AC1" t="inlineStr">
        <is>
          <t>SKEY</t>
        </is>
      </c>
      <c r="AD1" t="inlineStr">
        <is>
          <t>TYPE</t>
        </is>
      </c>
      <c r="AE1" t="inlineStr">
        <is>
          <t>PartFamilyId</t>
        </is>
      </c>
      <c r="AF1" t="inlineStr">
        <is>
          <t>CatalogPartFamilyId</t>
        </is>
      </c>
      <c r="AG1" t="inlineStr">
        <is>
          <t>PartStatus</t>
        </is>
      </c>
      <c r="AH1" t="inlineStr">
        <is>
          <t>Manufacturer</t>
        </is>
      </c>
      <c r="AI1" t="inlineStr">
        <is>
          <t>ItemCode</t>
        </is>
      </c>
      <c r="AJ1" t="inlineStr">
        <is>
          <t>DesignPressureFactor</t>
        </is>
      </c>
      <c r="AK1" t="inlineStr">
        <is>
          <t>ConnectionPortCount</t>
        </is>
      </c>
      <c r="AL1" t="inlineStr">
        <is>
          <t>ComponentDesignation</t>
        </is>
      </c>
      <c r="AM1" t="inlineStr">
        <is>
          <t>PartCategory</t>
        </is>
      </c>
      <c r="AN1" t="inlineStr">
        <is>
          <t>ContentIsoSymbolDefinition</t>
        </is>
      </c>
      <c r="AO1" t="inlineStr">
        <is>
          <t>PartVersion</t>
        </is>
      </c>
      <c r="AP1" t="inlineStr">
        <is>
          <t>Status</t>
        </is>
      </c>
      <c r="AQ1" t="inlineStr">
        <is>
          <t>BoltSize</t>
        </is>
      </c>
      <c r="AR1" t="inlineStr">
        <is>
          <t>NumberInSet</t>
        </is>
      </c>
      <c r="AS1" t="inlineStr">
        <is>
          <t>IsLugSet</t>
        </is>
      </c>
      <c r="AT1" t="inlineStr">
        <is>
          <t>Length</t>
        </is>
      </c>
      <c r="AU1" t="inlineStr">
        <is>
          <t>StudTypeDescription</t>
        </is>
      </c>
      <c r="AV1" t="inlineStr">
        <is>
          <t>StudDescription</t>
        </is>
      </c>
      <c r="AW1" t="inlineStr">
        <is>
          <t>BoltCompatibleStd</t>
        </is>
      </c>
      <c r="AX1" t="inlineStr">
        <is>
          <t>PnPClassName</t>
        </is>
      </c>
      <c r="AY1" t="inlineStr">
        <is>
          <t>ExcelFormatVersion_2.0</t>
        </is>
      </c>
    </row>
    <row r="2">
      <c r="A2" t="inlineStr">
        <is>
          <t>Preview</t>
        </is>
      </c>
      <c r="B2" t="inlineStr">
        <is>
          <t>Sizes</t>
        </is>
      </c>
      <c r="C2" t="inlineStr">
        <is>
          <t>Shape Name</t>
        </is>
      </c>
      <c r="D2" t="inlineStr">
        <is>
          <t>ContentGeometryParamDefinition</t>
        </is>
      </c>
      <c r="E2" t="inlineStr">
        <is>
          <t>SizeRecordId_S-ALL</t>
        </is>
      </c>
      <c r="F2" t="inlineStr">
        <is>
          <t>PortName_S-ALL</t>
        </is>
      </c>
      <c r="G2" t="inlineStr">
        <is>
          <t>NominalDiameter_S-ALL</t>
        </is>
      </c>
      <c r="H2" t="inlineStr">
        <is>
          <t>NominalUnit_S-ALL</t>
        </is>
      </c>
      <c r="I2" t="inlineStr">
        <is>
          <t>MatchingPipeOd_S-ALL</t>
        </is>
      </c>
      <c r="J2" t="inlineStr">
        <is>
          <t>EndType_S-ALL</t>
        </is>
      </c>
      <c r="K2" t="inlineStr">
        <is>
          <t>FlangeStd_S-ALL</t>
        </is>
      </c>
      <c r="L2" t="inlineStr">
        <is>
          <t>GasketStd_S-ALL</t>
        </is>
      </c>
      <c r="M2" t="inlineStr">
        <is>
          <t>Facing_S-ALL</t>
        </is>
      </c>
      <c r="N2" t="inlineStr">
        <is>
          <t>FlangeThickness_S-ALL</t>
        </is>
      </c>
      <c r="O2" t="inlineStr">
        <is>
          <t>PressureClass_S-ALL</t>
        </is>
      </c>
      <c r="P2" t="inlineStr">
        <is>
          <t>Schedule_S-ALL</t>
        </is>
      </c>
      <c r="Q2" t="inlineStr">
        <is>
          <t>WallThickness_S-ALL</t>
        </is>
      </c>
      <c r="R2" t="inlineStr">
        <is>
          <t>EngagementLength_S-ALL</t>
        </is>
      </c>
      <c r="S2" t="inlineStr">
        <is>
          <t>LengthUnit_S-ALL</t>
        </is>
      </c>
      <c r="T2" t="inlineStr">
        <is>
          <t>ShortDescription</t>
        </is>
      </c>
      <c r="U2" t="inlineStr">
        <is>
          <t>CompatibleStandard</t>
        </is>
      </c>
      <c r="V2" t="inlineStr">
        <is>
          <t>DesignStd</t>
        </is>
      </c>
      <c r="W2" t="inlineStr">
        <is>
          <t>PartFamilyLongDesc</t>
        </is>
      </c>
      <c r="X2" t="inlineStr">
        <is>
          <t>PartSizeLongDesc</t>
        </is>
      </c>
      <c r="Y2" t="inlineStr">
        <is>
          <t>Material</t>
        </is>
      </c>
      <c r="Z2" t="inlineStr">
        <is>
          <t>MaterialCode</t>
        </is>
      </c>
      <c r="AA2" t="inlineStr">
        <is>
          <t>Weight</t>
        </is>
      </c>
      <c r="AB2" t="inlineStr">
        <is>
          <t>WeightUnit</t>
        </is>
      </c>
      <c r="AC2" t="inlineStr">
        <is>
          <t>SKEY</t>
        </is>
      </c>
      <c r="AD2" t="inlineStr">
        <is>
          <t>TYPE</t>
        </is>
      </c>
      <c r="AE2" t="inlineStr">
        <is>
          <t>PartFamilyId</t>
        </is>
      </c>
      <c r="AF2" t="inlineStr">
        <is>
          <t>CatalogPartFamilyId</t>
        </is>
      </c>
      <c r="AG2" t="inlineStr">
        <is>
          <t>PartStatus</t>
        </is>
      </c>
      <c r="AH2" t="inlineStr">
        <is>
          <t>Manufacturer</t>
        </is>
      </c>
      <c r="AI2" t="inlineStr">
        <is>
          <t>ItemCode</t>
        </is>
      </c>
      <c r="AJ2" t="inlineStr">
        <is>
          <t>DesignPressureFactor</t>
        </is>
      </c>
      <c r="AK2" t="inlineStr">
        <is>
          <t>ConnectionPortCount</t>
        </is>
      </c>
      <c r="AL2" t="inlineStr">
        <is>
          <t>ComponentDesignation</t>
        </is>
      </c>
      <c r="AM2" t="inlineStr">
        <is>
          <t>PartCategory</t>
        </is>
      </c>
      <c r="AN2" t="inlineStr">
        <is>
          <t>ContentIsoSymbolDefinition</t>
        </is>
      </c>
      <c r="AO2" t="inlineStr">
        <is>
          <t>PartVersion</t>
        </is>
      </c>
      <c r="AP2" t="inlineStr">
        <is>
          <t>Status</t>
        </is>
      </c>
      <c r="AQ2" t="inlineStr">
        <is>
          <t>BoltSize</t>
        </is>
      </c>
      <c r="AR2" t="inlineStr">
        <is>
          <t>NumberInSet</t>
        </is>
      </c>
      <c r="AS2" t="inlineStr">
        <is>
          <t>IsLugSet</t>
        </is>
      </c>
      <c r="AT2" t="inlineStr">
        <is>
          <t>Length</t>
        </is>
      </c>
      <c r="AU2" t="inlineStr">
        <is>
          <t>StudTypeDescription</t>
        </is>
      </c>
      <c r="AV2" t="inlineStr">
        <is>
          <t>StudDescription</t>
        </is>
      </c>
      <c r="AW2" t="inlineStr">
        <is>
          <t>BoltCompatibleStd</t>
        </is>
      </c>
      <c r="AX2" t="inlineStr">
        <is>
          <t>PnPClassName</t>
        </is>
      </c>
      <c r="AY2" t="inlineStr">
        <is>
          <t>ExcelFormatVersion_2.0</t>
        </is>
      </c>
    </row>
    <row r="3">
      <c r="B3" t="inlineStr">
        <is>
          <t>15</t>
        </is>
      </c>
      <c r="E3" t="inlineStr">
        <is>
          <t>2fa45d94-566f-481e-9b0c-031893bcf95b</t>
        </is>
      </c>
      <c r="F3" t="inlineStr">
        <is>
          <t>ALL</t>
        </is>
      </c>
      <c r="G3" t="inlineStr">
        <is>
          <t>15</t>
        </is>
      </c>
      <c r="H3" t="inlineStr">
        <is>
          <t>mm</t>
        </is>
      </c>
      <c r="I3" t="inlineStr">
        <is>
          <t>21.34</t>
        </is>
      </c>
      <c r="M3" t="inlineStr">
        <is>
          <t>RF</t>
        </is>
      </c>
      <c r="O3" t="inlineStr">
        <is>
          <t>150</t>
        </is>
      </c>
      <c r="Q3" t="inlineStr">
        <is>
          <t>0</t>
        </is>
      </c>
      <c r="R3" t="inlineStr">
        <is>
          <t>0</t>
        </is>
      </c>
      <c r="S3" t="inlineStr">
        <is>
          <t>mm</t>
        </is>
      </c>
      <c r="T3" t="inlineStr">
        <is>
          <t>Bolt set</t>
        </is>
      </c>
      <c r="W3" t="inlineStr">
        <is>
          <t>Studbolt ASTM A193-B7-Nuts ASTM A194-2H</t>
        </is>
      </c>
      <c r="X3" t="inlineStr">
        <is>
          <t>Studbolt DN15 ASTM A193-B7-Nuts ASTM A194-2H</t>
        </is>
      </c>
      <c r="Y3" t="inlineStr">
        <is>
          <t>CS</t>
        </is>
      </c>
      <c r="AC3" t="inlineStr">
        <is>
          <t>BOLT</t>
        </is>
      </c>
      <c r="AD3" t="inlineStr">
        <is>
          <t>BOLT</t>
        </is>
      </c>
      <c r="AE3" t="inlineStr">
        <is>
          <t>36894312-7f7b-4dce-9b48-e62ceba5c6f9</t>
        </is>
      </c>
      <c r="AF3" t="inlineStr">
        <is>
          <t>36894312-7f7b-4dce-9b48-e62ceba5c6f9</t>
        </is>
      </c>
      <c r="AK3" t="inlineStr">
        <is>
          <t>1</t>
        </is>
      </c>
      <c r="AM3" t="inlineStr">
        <is>
          <t>Fasteners</t>
        </is>
      </c>
      <c r="AN3" t="inlineStr">
        <is>
          <t>TYPE=BOLT</t>
        </is>
      </c>
      <c r="AQ3" t="inlineStr">
        <is>
          <t>1/2"</t>
        </is>
      </c>
      <c r="AR3" t="n">
        <v>4</v>
      </c>
      <c r="AS3" t="inlineStr">
        <is>
          <t>0</t>
        </is>
      </c>
      <c r="AT3" t="n">
        <v>2.165354</v>
      </c>
      <c r="AU3" t="inlineStr">
        <is>
          <t>Stud Bolt</t>
        </is>
      </c>
      <c r="AV3" t="inlineStr">
        <is>
          <t>Lg, ASTM A193, B7</t>
        </is>
      </c>
      <c r="AW3" t="inlineStr">
        <is>
          <t>ASTM A193</t>
        </is>
      </c>
      <c r="AX3" t="inlineStr">
        <is>
          <t>BoltSet</t>
        </is>
      </c>
    </row>
    <row r="4">
      <c r="B4" t="inlineStr">
        <is>
          <t>20</t>
        </is>
      </c>
      <c r="E4" t="inlineStr">
        <is>
          <t>ad9eff73-6400-4bc3-a9f0-1c9c08080f61</t>
        </is>
      </c>
      <c r="F4" t="inlineStr">
        <is>
          <t>ALL</t>
        </is>
      </c>
      <c r="G4" t="inlineStr">
        <is>
          <t>20</t>
        </is>
      </c>
      <c r="H4" t="inlineStr">
        <is>
          <t>mm</t>
        </is>
      </c>
      <c r="I4" t="inlineStr">
        <is>
          <t>26.67</t>
        </is>
      </c>
      <c r="M4" t="inlineStr">
        <is>
          <t>RF</t>
        </is>
      </c>
      <c r="O4" t="inlineStr">
        <is>
          <t>150</t>
        </is>
      </c>
      <c r="Q4" t="inlineStr">
        <is>
          <t>0</t>
        </is>
      </c>
      <c r="R4" t="inlineStr">
        <is>
          <t>0</t>
        </is>
      </c>
      <c r="S4" t="inlineStr">
        <is>
          <t>mm</t>
        </is>
      </c>
      <c r="T4" t="inlineStr">
        <is>
          <t>Bolt set</t>
        </is>
      </c>
      <c r="W4" t="inlineStr">
        <is>
          <t>Studbolt ASTM A193-B7-Nuts ASTM A194-2H</t>
        </is>
      </c>
      <c r="X4" t="inlineStr">
        <is>
          <t>Studbolt DN20 ASTM A193-B7-Nuts ASTM A194-2H</t>
        </is>
      </c>
      <c r="Y4" t="inlineStr">
        <is>
          <t>CS</t>
        </is>
      </c>
      <c r="AC4" t="inlineStr">
        <is>
          <t>BOLT</t>
        </is>
      </c>
      <c r="AD4" t="inlineStr">
        <is>
          <t>BOLT</t>
        </is>
      </c>
      <c r="AE4" t="inlineStr">
        <is>
          <t>36894312-7f7b-4dce-9b48-e62ceba5c6f9</t>
        </is>
      </c>
      <c r="AF4" t="inlineStr">
        <is>
          <t>36894312-7f7b-4dce-9b48-e62ceba5c6f9</t>
        </is>
      </c>
      <c r="AK4" t="inlineStr">
        <is>
          <t>1</t>
        </is>
      </c>
      <c r="AM4" t="inlineStr">
        <is>
          <t>Fasteners</t>
        </is>
      </c>
      <c r="AN4" t="inlineStr">
        <is>
          <t>TYPE=BOLT</t>
        </is>
      </c>
      <c r="AQ4" t="inlineStr">
        <is>
          <t>1/2"</t>
        </is>
      </c>
      <c r="AR4" t="n">
        <v>4</v>
      </c>
      <c r="AS4" t="inlineStr">
        <is>
          <t>0</t>
        </is>
      </c>
      <c r="AT4" t="n">
        <v>2.559055</v>
      </c>
      <c r="AU4" t="inlineStr">
        <is>
          <t>Stud Bolt</t>
        </is>
      </c>
      <c r="AV4" t="inlineStr">
        <is>
          <t>Lg, ASTM A193, B7</t>
        </is>
      </c>
      <c r="AW4" t="inlineStr">
        <is>
          <t>ASTM A193</t>
        </is>
      </c>
      <c r="AX4" t="inlineStr">
        <is>
          <t>BoltSet</t>
        </is>
      </c>
    </row>
    <row r="5">
      <c r="B5" t="inlineStr">
        <is>
          <t>25</t>
        </is>
      </c>
      <c r="E5" t="inlineStr">
        <is>
          <t>37615cec-e432-45ee-94f4-c15dbc4b9237</t>
        </is>
      </c>
      <c r="F5" t="inlineStr">
        <is>
          <t>ALL</t>
        </is>
      </c>
      <c r="G5" t="inlineStr">
        <is>
          <t>25</t>
        </is>
      </c>
      <c r="H5" t="inlineStr">
        <is>
          <t>mm</t>
        </is>
      </c>
      <c r="I5" t="inlineStr">
        <is>
          <t>33.4</t>
        </is>
      </c>
      <c r="M5" t="inlineStr">
        <is>
          <t>RF</t>
        </is>
      </c>
      <c r="O5" t="inlineStr">
        <is>
          <t>150</t>
        </is>
      </c>
      <c r="Q5" t="inlineStr">
        <is>
          <t>0</t>
        </is>
      </c>
      <c r="R5" t="inlineStr">
        <is>
          <t>0</t>
        </is>
      </c>
      <c r="S5" t="inlineStr">
        <is>
          <t>mm</t>
        </is>
      </c>
      <c r="T5" t="inlineStr">
        <is>
          <t>Bolt set</t>
        </is>
      </c>
      <c r="W5" t="inlineStr">
        <is>
          <t>Studbolt ASTM A193-B7-Nuts ASTM A194-2H</t>
        </is>
      </c>
      <c r="X5" t="inlineStr">
        <is>
          <t>Studbolt DN25 ASTM A193-B7-Nuts ASTM A194-2H</t>
        </is>
      </c>
      <c r="Y5" t="inlineStr">
        <is>
          <t>CS</t>
        </is>
      </c>
      <c r="AC5" t="inlineStr">
        <is>
          <t>BOLT</t>
        </is>
      </c>
      <c r="AD5" t="inlineStr">
        <is>
          <t>BOLT</t>
        </is>
      </c>
      <c r="AE5" t="inlineStr">
        <is>
          <t>36894312-7f7b-4dce-9b48-e62ceba5c6f9</t>
        </is>
      </c>
      <c r="AF5" t="inlineStr">
        <is>
          <t>36894312-7f7b-4dce-9b48-e62ceba5c6f9</t>
        </is>
      </c>
      <c r="AK5" t="inlineStr">
        <is>
          <t>1</t>
        </is>
      </c>
      <c r="AM5" t="inlineStr">
        <is>
          <t>Fasteners</t>
        </is>
      </c>
      <c r="AN5" t="inlineStr">
        <is>
          <t>TYPE=BOLT</t>
        </is>
      </c>
      <c r="AQ5" t="inlineStr">
        <is>
          <t>1/2"</t>
        </is>
      </c>
      <c r="AR5" t="n">
        <v>4</v>
      </c>
      <c r="AS5" t="inlineStr">
        <is>
          <t>0</t>
        </is>
      </c>
      <c r="AT5" t="n">
        <v>2.559055</v>
      </c>
      <c r="AU5" t="inlineStr">
        <is>
          <t>Stud Bolt</t>
        </is>
      </c>
      <c r="AV5" t="inlineStr">
        <is>
          <t>Lg, ASTM A193, B7</t>
        </is>
      </c>
      <c r="AW5" t="inlineStr">
        <is>
          <t>ASTM A193</t>
        </is>
      </c>
      <c r="AX5" t="inlineStr">
        <is>
          <t>BoltSet</t>
        </is>
      </c>
    </row>
    <row r="6">
      <c r="B6" t="inlineStr">
        <is>
          <t>32</t>
        </is>
      </c>
      <c r="E6" t="inlineStr">
        <is>
          <t>4e597f0a-1b80-4126-83b6-4c37e027cdac</t>
        </is>
      </c>
      <c r="F6" t="inlineStr">
        <is>
          <t>ALL</t>
        </is>
      </c>
      <c r="G6" t="inlineStr">
        <is>
          <t>32</t>
        </is>
      </c>
      <c r="H6" t="inlineStr">
        <is>
          <t>mm</t>
        </is>
      </c>
      <c r="I6" t="inlineStr">
        <is>
          <t>42.16</t>
        </is>
      </c>
      <c r="M6" t="inlineStr">
        <is>
          <t>RF</t>
        </is>
      </c>
      <c r="O6" t="inlineStr">
        <is>
          <t>150</t>
        </is>
      </c>
      <c r="Q6" t="inlineStr">
        <is>
          <t>0</t>
        </is>
      </c>
      <c r="R6" t="inlineStr">
        <is>
          <t>0</t>
        </is>
      </c>
      <c r="S6" t="inlineStr">
        <is>
          <t>mm</t>
        </is>
      </c>
      <c r="T6" t="inlineStr">
        <is>
          <t>Bolt set</t>
        </is>
      </c>
      <c r="W6" t="inlineStr">
        <is>
          <t>Studbolt ASTM A193-B7-Nuts ASTM A194-2H</t>
        </is>
      </c>
      <c r="X6" t="inlineStr">
        <is>
          <t>Studbolt DN32 ASTM A193-B7-Nuts ASTM A194-2H</t>
        </is>
      </c>
      <c r="Y6" t="inlineStr">
        <is>
          <t>CS</t>
        </is>
      </c>
      <c r="AC6" t="inlineStr">
        <is>
          <t>BOLT</t>
        </is>
      </c>
      <c r="AD6" t="inlineStr">
        <is>
          <t>BOLT</t>
        </is>
      </c>
      <c r="AE6" t="inlineStr">
        <is>
          <t>36894312-7f7b-4dce-9b48-e62ceba5c6f9</t>
        </is>
      </c>
      <c r="AF6" t="inlineStr">
        <is>
          <t>36894312-7f7b-4dce-9b48-e62ceba5c6f9</t>
        </is>
      </c>
      <c r="AK6" t="inlineStr">
        <is>
          <t>1</t>
        </is>
      </c>
      <c r="AM6" t="inlineStr">
        <is>
          <t>Fasteners</t>
        </is>
      </c>
      <c r="AN6" t="inlineStr">
        <is>
          <t>TYPE=BOLT</t>
        </is>
      </c>
      <c r="AQ6" t="inlineStr">
        <is>
          <t>1/2"</t>
        </is>
      </c>
      <c r="AR6" t="n">
        <v>4</v>
      </c>
      <c r="AS6" t="inlineStr">
        <is>
          <t>0</t>
        </is>
      </c>
      <c r="AT6" t="n">
        <v>2.755906</v>
      </c>
      <c r="AU6" t="inlineStr">
        <is>
          <t>Stud Bolt</t>
        </is>
      </c>
      <c r="AV6" t="inlineStr">
        <is>
          <t>Lg, ASTM A193, B7</t>
        </is>
      </c>
      <c r="AW6" t="inlineStr">
        <is>
          <t>ASTM A193</t>
        </is>
      </c>
      <c r="AX6" t="inlineStr">
        <is>
          <t>BoltSet</t>
        </is>
      </c>
    </row>
    <row r="7">
      <c r="B7" t="inlineStr">
        <is>
          <t>40</t>
        </is>
      </c>
      <c r="E7" t="inlineStr">
        <is>
          <t>1b49458a-bab6-4488-b321-ee35be3dc0e1</t>
        </is>
      </c>
      <c r="F7" t="inlineStr">
        <is>
          <t>ALL</t>
        </is>
      </c>
      <c r="G7" t="inlineStr">
        <is>
          <t>40</t>
        </is>
      </c>
      <c r="H7" t="inlineStr">
        <is>
          <t>mm</t>
        </is>
      </c>
      <c r="I7" t="inlineStr">
        <is>
          <t>48.26</t>
        </is>
      </c>
      <c r="M7" t="inlineStr">
        <is>
          <t>RF</t>
        </is>
      </c>
      <c r="O7" t="inlineStr">
        <is>
          <t>150</t>
        </is>
      </c>
      <c r="Q7" t="inlineStr">
        <is>
          <t>0</t>
        </is>
      </c>
      <c r="R7" t="inlineStr">
        <is>
          <t>0</t>
        </is>
      </c>
      <c r="S7" t="inlineStr">
        <is>
          <t>mm</t>
        </is>
      </c>
      <c r="T7" t="inlineStr">
        <is>
          <t>Bolt set</t>
        </is>
      </c>
      <c r="W7" t="inlineStr">
        <is>
          <t>Studbolt ASTM A193-B7-Nuts ASTM A194-2H</t>
        </is>
      </c>
      <c r="X7" t="inlineStr">
        <is>
          <t>Studbolt DN40 ASTM A193-B7-Nuts ASTM A194-2H</t>
        </is>
      </c>
      <c r="Y7" t="inlineStr">
        <is>
          <t>CS</t>
        </is>
      </c>
      <c r="AC7" t="inlineStr">
        <is>
          <t>BOLT</t>
        </is>
      </c>
      <c r="AD7" t="inlineStr">
        <is>
          <t>BOLT</t>
        </is>
      </c>
      <c r="AE7" t="inlineStr">
        <is>
          <t>36894312-7f7b-4dce-9b48-e62ceba5c6f9</t>
        </is>
      </c>
      <c r="AF7" t="inlineStr">
        <is>
          <t>36894312-7f7b-4dce-9b48-e62ceba5c6f9</t>
        </is>
      </c>
      <c r="AK7" t="inlineStr">
        <is>
          <t>1</t>
        </is>
      </c>
      <c r="AM7" t="inlineStr">
        <is>
          <t>Fasteners</t>
        </is>
      </c>
      <c r="AN7" t="inlineStr">
        <is>
          <t>TYPE=BOLT</t>
        </is>
      </c>
      <c r="AQ7" t="inlineStr">
        <is>
          <t>1/2"</t>
        </is>
      </c>
      <c r="AR7" t="n">
        <v>4</v>
      </c>
      <c r="AS7" t="inlineStr">
        <is>
          <t>0</t>
        </is>
      </c>
      <c r="AT7" t="n">
        <v>2.755906</v>
      </c>
      <c r="AU7" t="inlineStr">
        <is>
          <t>Stud Bolt</t>
        </is>
      </c>
      <c r="AV7" t="inlineStr">
        <is>
          <t>Lg, ASTM A193, B7</t>
        </is>
      </c>
      <c r="AW7" t="inlineStr">
        <is>
          <t>ASTM A193</t>
        </is>
      </c>
      <c r="AX7" t="inlineStr">
        <is>
          <t>BoltSet</t>
        </is>
      </c>
    </row>
    <row r="8">
      <c r="B8" t="inlineStr">
        <is>
          <t>50</t>
        </is>
      </c>
      <c r="E8" t="inlineStr">
        <is>
          <t>6b3ed705-5ddd-4c41-8848-8e0c60f0ebb5</t>
        </is>
      </c>
      <c r="F8" t="inlineStr">
        <is>
          <t>ALL</t>
        </is>
      </c>
      <c r="G8" t="inlineStr">
        <is>
          <t>50</t>
        </is>
      </c>
      <c r="H8" t="inlineStr">
        <is>
          <t>mm</t>
        </is>
      </c>
      <c r="I8" t="inlineStr">
        <is>
          <t>60.32</t>
        </is>
      </c>
      <c r="M8" t="inlineStr">
        <is>
          <t>RF</t>
        </is>
      </c>
      <c r="O8" t="inlineStr">
        <is>
          <t>150</t>
        </is>
      </c>
      <c r="Q8" t="inlineStr">
        <is>
          <t>0</t>
        </is>
      </c>
      <c r="R8" t="inlineStr">
        <is>
          <t>0</t>
        </is>
      </c>
      <c r="S8" t="inlineStr">
        <is>
          <t>mm</t>
        </is>
      </c>
      <c r="T8" t="inlineStr">
        <is>
          <t>Bolt set</t>
        </is>
      </c>
      <c r="W8" t="inlineStr">
        <is>
          <t>Studbolt ASTM A193-B7-Nuts ASTM A194-2H</t>
        </is>
      </c>
      <c r="X8" t="inlineStr">
        <is>
          <t>Studbolt DN50 ASTM A193-B7-Nuts ASTM A194-2H</t>
        </is>
      </c>
      <c r="Y8" t="inlineStr">
        <is>
          <t>CS</t>
        </is>
      </c>
      <c r="AC8" t="inlineStr">
        <is>
          <t>BOLT</t>
        </is>
      </c>
      <c r="AD8" t="inlineStr">
        <is>
          <t>BOLT</t>
        </is>
      </c>
      <c r="AE8" t="inlineStr">
        <is>
          <t>36894312-7f7b-4dce-9b48-e62ceba5c6f9</t>
        </is>
      </c>
      <c r="AF8" t="inlineStr">
        <is>
          <t>36894312-7f7b-4dce-9b48-e62ceba5c6f9</t>
        </is>
      </c>
      <c r="AK8" t="inlineStr">
        <is>
          <t>1</t>
        </is>
      </c>
      <c r="AM8" t="inlineStr">
        <is>
          <t>Fasteners</t>
        </is>
      </c>
      <c r="AN8" t="inlineStr">
        <is>
          <t>TYPE=BOLT</t>
        </is>
      </c>
      <c r="AQ8" t="inlineStr">
        <is>
          <t>5/8"</t>
        </is>
      </c>
      <c r="AR8" t="n">
        <v>4</v>
      </c>
      <c r="AS8" t="inlineStr">
        <is>
          <t>0</t>
        </is>
      </c>
      <c r="AT8" t="n">
        <v>3.346457</v>
      </c>
      <c r="AU8" t="inlineStr">
        <is>
          <t>Stud Bolt</t>
        </is>
      </c>
      <c r="AV8" t="inlineStr">
        <is>
          <t>Lg, ASTM A193, B7</t>
        </is>
      </c>
      <c r="AW8" t="inlineStr">
        <is>
          <t>ASTM A193</t>
        </is>
      </c>
      <c r="AX8" t="inlineStr">
        <is>
          <t>BoltSet</t>
        </is>
      </c>
    </row>
    <row r="9">
      <c r="B9" t="inlineStr">
        <is>
          <t>65</t>
        </is>
      </c>
      <c r="E9" t="inlineStr">
        <is>
          <t>be879cb0-b70d-4938-8deb-5f72a181dcab</t>
        </is>
      </c>
      <c r="F9" t="inlineStr">
        <is>
          <t>ALL</t>
        </is>
      </c>
      <c r="G9" t="inlineStr">
        <is>
          <t>65</t>
        </is>
      </c>
      <c r="H9" t="inlineStr">
        <is>
          <t>mm</t>
        </is>
      </c>
      <c r="I9" t="inlineStr">
        <is>
          <t>73.03</t>
        </is>
      </c>
      <c r="M9" t="inlineStr">
        <is>
          <t>RF</t>
        </is>
      </c>
      <c r="O9" t="inlineStr">
        <is>
          <t>150</t>
        </is>
      </c>
      <c r="Q9" t="inlineStr">
        <is>
          <t>0</t>
        </is>
      </c>
      <c r="R9" t="inlineStr">
        <is>
          <t>0</t>
        </is>
      </c>
      <c r="S9" t="inlineStr">
        <is>
          <t>mm</t>
        </is>
      </c>
      <c r="T9" t="inlineStr">
        <is>
          <t>Bolt set</t>
        </is>
      </c>
      <c r="W9" t="inlineStr">
        <is>
          <t>Studbolt ASTM A193-B7-Nuts ASTM A194-2H</t>
        </is>
      </c>
      <c r="X9" t="inlineStr">
        <is>
          <t>Studbolt DN65 ASTM A193-B7-Nuts ASTM A194-2H</t>
        </is>
      </c>
      <c r="Y9" t="inlineStr">
        <is>
          <t>CS</t>
        </is>
      </c>
      <c r="AC9" t="inlineStr">
        <is>
          <t>BOLT</t>
        </is>
      </c>
      <c r="AD9" t="inlineStr">
        <is>
          <t>BOLT</t>
        </is>
      </c>
      <c r="AE9" t="inlineStr">
        <is>
          <t>36894312-7f7b-4dce-9b48-e62ceba5c6f9</t>
        </is>
      </c>
      <c r="AF9" t="inlineStr">
        <is>
          <t>36894312-7f7b-4dce-9b48-e62ceba5c6f9</t>
        </is>
      </c>
      <c r="AK9" t="inlineStr">
        <is>
          <t>1</t>
        </is>
      </c>
      <c r="AM9" t="inlineStr">
        <is>
          <t>Fasteners</t>
        </is>
      </c>
      <c r="AN9" t="inlineStr">
        <is>
          <t>TYPE=BOLT</t>
        </is>
      </c>
      <c r="AQ9" t="inlineStr">
        <is>
          <t>5/8"</t>
        </is>
      </c>
      <c r="AR9" t="n">
        <v>4</v>
      </c>
      <c r="AS9" t="inlineStr">
        <is>
          <t>0</t>
        </is>
      </c>
      <c r="AT9" t="n">
        <v>3.543307</v>
      </c>
      <c r="AU9" t="inlineStr">
        <is>
          <t>Stud Bolt</t>
        </is>
      </c>
      <c r="AV9" t="inlineStr">
        <is>
          <t>Lg, ASTM A193, B7</t>
        </is>
      </c>
      <c r="AW9" t="inlineStr">
        <is>
          <t>ASTM A193</t>
        </is>
      </c>
      <c r="AX9" t="inlineStr">
        <is>
          <t>BoltSet</t>
        </is>
      </c>
    </row>
    <row r="10">
      <c r="B10" t="inlineStr">
        <is>
          <t>80</t>
        </is>
      </c>
      <c r="E10" t="inlineStr">
        <is>
          <t>2a0cc95b-ed63-453a-8a52-6194599f6e32</t>
        </is>
      </c>
      <c r="F10" t="inlineStr">
        <is>
          <t>ALL</t>
        </is>
      </c>
      <c r="G10" t="inlineStr">
        <is>
          <t>80</t>
        </is>
      </c>
      <c r="H10" t="inlineStr">
        <is>
          <t>mm</t>
        </is>
      </c>
      <c r="I10" t="inlineStr">
        <is>
          <t>88.9</t>
        </is>
      </c>
      <c r="M10" t="inlineStr">
        <is>
          <t>RF</t>
        </is>
      </c>
      <c r="O10" t="inlineStr">
        <is>
          <t>150</t>
        </is>
      </c>
      <c r="Q10" t="inlineStr">
        <is>
          <t>0</t>
        </is>
      </c>
      <c r="R10" t="inlineStr">
        <is>
          <t>0</t>
        </is>
      </c>
      <c r="S10" t="inlineStr">
        <is>
          <t>mm</t>
        </is>
      </c>
      <c r="T10" t="inlineStr">
        <is>
          <t>Bolt set</t>
        </is>
      </c>
      <c r="W10" t="inlineStr">
        <is>
          <t>Studbolt ASTM A193-B7-Nuts ASTM A194-2H</t>
        </is>
      </c>
      <c r="X10" t="inlineStr">
        <is>
          <t>Studbolt DN80 ASTM A193-B7-Nuts ASTM A194-2H</t>
        </is>
      </c>
      <c r="Y10" t="inlineStr">
        <is>
          <t>CS</t>
        </is>
      </c>
      <c r="AC10" t="inlineStr">
        <is>
          <t>BOLT</t>
        </is>
      </c>
      <c r="AD10" t="inlineStr">
        <is>
          <t>BOLT</t>
        </is>
      </c>
      <c r="AE10" t="inlineStr">
        <is>
          <t>36894312-7f7b-4dce-9b48-e62ceba5c6f9</t>
        </is>
      </c>
      <c r="AF10" t="inlineStr">
        <is>
          <t>36894312-7f7b-4dce-9b48-e62ceba5c6f9</t>
        </is>
      </c>
      <c r="AK10" t="inlineStr">
        <is>
          <t>1</t>
        </is>
      </c>
      <c r="AM10" t="inlineStr">
        <is>
          <t>Fasteners</t>
        </is>
      </c>
      <c r="AN10" t="inlineStr">
        <is>
          <t>TYPE=BOLT</t>
        </is>
      </c>
      <c r="AQ10" t="inlineStr">
        <is>
          <t>5/8"</t>
        </is>
      </c>
      <c r="AR10" t="n">
        <v>4</v>
      </c>
      <c r="AS10" t="inlineStr">
        <is>
          <t>0</t>
        </is>
      </c>
      <c r="AT10" t="n">
        <v>3.543307</v>
      </c>
      <c r="AU10" t="inlineStr">
        <is>
          <t>Stud Bolt</t>
        </is>
      </c>
      <c r="AV10" t="inlineStr">
        <is>
          <t>Lg, ASTM A193, B7</t>
        </is>
      </c>
      <c r="AW10" t="inlineStr">
        <is>
          <t>ASTM A193</t>
        </is>
      </c>
      <c r="AX10" t="inlineStr">
        <is>
          <t>BoltSet</t>
        </is>
      </c>
    </row>
    <row r="11">
      <c r="B11" t="inlineStr">
        <is>
          <t>90</t>
        </is>
      </c>
      <c r="E11" t="inlineStr">
        <is>
          <t>39d93329-93b2-4ce4-beb2-f9e727cfca9e</t>
        </is>
      </c>
      <c r="F11" t="inlineStr">
        <is>
          <t>ALL</t>
        </is>
      </c>
      <c r="G11" t="inlineStr">
        <is>
          <t>90</t>
        </is>
      </c>
      <c r="H11" t="inlineStr">
        <is>
          <t>mm</t>
        </is>
      </c>
      <c r="I11" t="inlineStr">
        <is>
          <t>90</t>
        </is>
      </c>
      <c r="M11" t="inlineStr">
        <is>
          <t>RF</t>
        </is>
      </c>
      <c r="O11" t="inlineStr">
        <is>
          <t>150</t>
        </is>
      </c>
      <c r="Q11" t="inlineStr">
        <is>
          <t>0</t>
        </is>
      </c>
      <c r="R11" t="inlineStr">
        <is>
          <t>0</t>
        </is>
      </c>
      <c r="S11" t="inlineStr">
        <is>
          <t>mm</t>
        </is>
      </c>
      <c r="T11" t="inlineStr">
        <is>
          <t>Bolt set</t>
        </is>
      </c>
      <c r="W11" t="inlineStr">
        <is>
          <t>Studbolt ASTM A193-B7-Nuts ASTM A194-2H</t>
        </is>
      </c>
      <c r="X11" t="inlineStr">
        <is>
          <t>Studbolt DN90 ASTM A193-B7-Nuts ASTM A194-2H</t>
        </is>
      </c>
      <c r="Y11" t="inlineStr">
        <is>
          <t>CS</t>
        </is>
      </c>
      <c r="AC11" t="inlineStr">
        <is>
          <t>BOLT</t>
        </is>
      </c>
      <c r="AD11" t="inlineStr">
        <is>
          <t>BOLT</t>
        </is>
      </c>
      <c r="AE11" t="inlineStr">
        <is>
          <t>36894312-7f7b-4dce-9b48-e62ceba5c6f9</t>
        </is>
      </c>
      <c r="AF11" t="inlineStr">
        <is>
          <t>36894312-7f7b-4dce-9b48-e62ceba5c6f9</t>
        </is>
      </c>
      <c r="AK11" t="inlineStr">
        <is>
          <t>1</t>
        </is>
      </c>
      <c r="AM11" t="inlineStr">
        <is>
          <t>Fasteners</t>
        </is>
      </c>
      <c r="AN11" t="inlineStr">
        <is>
          <t>TYPE=BOLT</t>
        </is>
      </c>
      <c r="AQ11" t="inlineStr">
        <is>
          <t>5/8"</t>
        </is>
      </c>
      <c r="AR11" t="n">
        <v>8</v>
      </c>
      <c r="AS11" t="inlineStr">
        <is>
          <t>0</t>
        </is>
      </c>
      <c r="AT11" t="n">
        <v>3.543307</v>
      </c>
      <c r="AU11" t="inlineStr">
        <is>
          <t>Stud Bolt</t>
        </is>
      </c>
      <c r="AV11" t="inlineStr">
        <is>
          <t>Lg, ASTM A193, B7</t>
        </is>
      </c>
      <c r="AW11" t="inlineStr">
        <is>
          <t>ASTM A193</t>
        </is>
      </c>
      <c r="AX11" t="inlineStr">
        <is>
          <t>BoltSet</t>
        </is>
      </c>
    </row>
    <row r="12">
      <c r="B12" t="inlineStr">
        <is>
          <t>100</t>
        </is>
      </c>
      <c r="E12" t="inlineStr">
        <is>
          <t>d3409bfc-e356-4d89-a899-fb1cc75c0880</t>
        </is>
      </c>
      <c r="F12" t="inlineStr">
        <is>
          <t>ALL</t>
        </is>
      </c>
      <c r="G12" t="inlineStr">
        <is>
          <t>100</t>
        </is>
      </c>
      <c r="H12" t="inlineStr">
        <is>
          <t>mm</t>
        </is>
      </c>
      <c r="I12" t="inlineStr">
        <is>
          <t>114.3</t>
        </is>
      </c>
      <c r="M12" t="inlineStr">
        <is>
          <t>RF</t>
        </is>
      </c>
      <c r="O12" t="inlineStr">
        <is>
          <t>150</t>
        </is>
      </c>
      <c r="Q12" t="inlineStr">
        <is>
          <t>0</t>
        </is>
      </c>
      <c r="R12" t="inlineStr">
        <is>
          <t>0</t>
        </is>
      </c>
      <c r="S12" t="inlineStr">
        <is>
          <t>mm</t>
        </is>
      </c>
      <c r="T12" t="inlineStr">
        <is>
          <t>Bolt set</t>
        </is>
      </c>
      <c r="W12" t="inlineStr">
        <is>
          <t>Studbolt ASTM A193-B7-Nuts ASTM A194-2H</t>
        </is>
      </c>
      <c r="X12" t="inlineStr">
        <is>
          <t>Studbolt DN100 ASTM A193-B7-Nuts ASTM A194-2H</t>
        </is>
      </c>
      <c r="Y12" t="inlineStr">
        <is>
          <t>CS</t>
        </is>
      </c>
      <c r="AC12" t="inlineStr">
        <is>
          <t>BOLT</t>
        </is>
      </c>
      <c r="AD12" t="inlineStr">
        <is>
          <t>BOLT</t>
        </is>
      </c>
      <c r="AE12" t="inlineStr">
        <is>
          <t>36894312-7f7b-4dce-9b48-e62ceba5c6f9</t>
        </is>
      </c>
      <c r="AF12" t="inlineStr">
        <is>
          <t>36894312-7f7b-4dce-9b48-e62ceba5c6f9</t>
        </is>
      </c>
      <c r="AK12" t="inlineStr">
        <is>
          <t>1</t>
        </is>
      </c>
      <c r="AM12" t="inlineStr">
        <is>
          <t>Fasteners</t>
        </is>
      </c>
      <c r="AN12" t="inlineStr">
        <is>
          <t>TYPE=BOLT</t>
        </is>
      </c>
      <c r="AQ12" t="inlineStr">
        <is>
          <t>5/8"</t>
        </is>
      </c>
      <c r="AR12" t="n">
        <v>8</v>
      </c>
      <c r="AS12" t="inlineStr">
        <is>
          <t>0</t>
        </is>
      </c>
      <c r="AT12" t="n">
        <v>3.543307</v>
      </c>
      <c r="AU12" t="inlineStr">
        <is>
          <t>Stud Bolt</t>
        </is>
      </c>
      <c r="AV12" t="inlineStr">
        <is>
          <t>Lg, ASTM A193, B7</t>
        </is>
      </c>
      <c r="AW12" t="inlineStr">
        <is>
          <t>ASTM A193</t>
        </is>
      </c>
      <c r="AX12" t="inlineStr">
        <is>
          <t>BoltSet</t>
        </is>
      </c>
    </row>
    <row r="13">
      <c r="B13" t="inlineStr">
        <is>
          <t>125</t>
        </is>
      </c>
      <c r="E13" t="inlineStr">
        <is>
          <t>9265de38-8e20-44b9-87f1-abe93bf12c85</t>
        </is>
      </c>
      <c r="F13" t="inlineStr">
        <is>
          <t>ALL</t>
        </is>
      </c>
      <c r="G13" t="inlineStr">
        <is>
          <t>125</t>
        </is>
      </c>
      <c r="H13" t="inlineStr">
        <is>
          <t>mm</t>
        </is>
      </c>
      <c r="I13" t="inlineStr">
        <is>
          <t>125</t>
        </is>
      </c>
      <c r="M13" t="inlineStr">
        <is>
          <t>RF</t>
        </is>
      </c>
      <c r="O13" t="inlineStr">
        <is>
          <t>150</t>
        </is>
      </c>
      <c r="Q13" t="inlineStr">
        <is>
          <t>0</t>
        </is>
      </c>
      <c r="R13" t="inlineStr">
        <is>
          <t>0</t>
        </is>
      </c>
      <c r="S13" t="inlineStr">
        <is>
          <t>mm</t>
        </is>
      </c>
      <c r="T13" t="inlineStr">
        <is>
          <t>Bolt set</t>
        </is>
      </c>
      <c r="W13" t="inlineStr">
        <is>
          <t>Studbolt ASTM A193-B7-Nuts ASTM A194-2H</t>
        </is>
      </c>
      <c r="X13" t="inlineStr">
        <is>
          <t>Studbolt DN125 ASTM A193-B7-Nuts ASTM A194-2H</t>
        </is>
      </c>
      <c r="Y13" t="inlineStr">
        <is>
          <t>CS</t>
        </is>
      </c>
      <c r="AC13" t="inlineStr">
        <is>
          <t>BOLT</t>
        </is>
      </c>
      <c r="AD13" t="inlineStr">
        <is>
          <t>BOLT</t>
        </is>
      </c>
      <c r="AE13" t="inlineStr">
        <is>
          <t>36894312-7f7b-4dce-9b48-e62ceba5c6f9</t>
        </is>
      </c>
      <c r="AF13" t="inlineStr">
        <is>
          <t>36894312-7f7b-4dce-9b48-e62ceba5c6f9</t>
        </is>
      </c>
      <c r="AK13" t="inlineStr">
        <is>
          <t>1</t>
        </is>
      </c>
      <c r="AM13" t="inlineStr">
        <is>
          <t>Fasteners</t>
        </is>
      </c>
      <c r="AN13" t="inlineStr">
        <is>
          <t>TYPE=BOLT</t>
        </is>
      </c>
      <c r="AQ13" t="inlineStr">
        <is>
          <t>5/8"</t>
        </is>
      </c>
      <c r="AR13" t="n">
        <v>8</v>
      </c>
      <c r="AS13" t="inlineStr">
        <is>
          <t>0</t>
        </is>
      </c>
      <c r="AT13" t="n">
        <v>3.740157</v>
      </c>
      <c r="AU13" t="inlineStr">
        <is>
          <t>Stud Bolt</t>
        </is>
      </c>
      <c r="AV13" t="inlineStr">
        <is>
          <t>Lg, ASTM A193, B7</t>
        </is>
      </c>
      <c r="AW13" t="inlineStr">
        <is>
          <t>ASTM A193</t>
        </is>
      </c>
      <c r="AX13" t="inlineStr">
        <is>
          <t>BoltSet</t>
        </is>
      </c>
    </row>
    <row r="14">
      <c r="B14" t="inlineStr">
        <is>
          <t>150</t>
        </is>
      </c>
      <c r="E14" t="inlineStr">
        <is>
          <t>b62ee921-e8f2-432e-9583-d2036de22ab4</t>
        </is>
      </c>
      <c r="F14" t="inlineStr">
        <is>
          <t>ALL</t>
        </is>
      </c>
      <c r="G14" t="inlineStr">
        <is>
          <t>150</t>
        </is>
      </c>
      <c r="H14" t="inlineStr">
        <is>
          <t>mm</t>
        </is>
      </c>
      <c r="I14" t="inlineStr">
        <is>
          <t>168.3</t>
        </is>
      </c>
      <c r="M14" t="inlineStr">
        <is>
          <t>RF</t>
        </is>
      </c>
      <c r="O14" t="inlineStr">
        <is>
          <t>150</t>
        </is>
      </c>
      <c r="Q14" t="inlineStr">
        <is>
          <t>0</t>
        </is>
      </c>
      <c r="R14" t="inlineStr">
        <is>
          <t>0</t>
        </is>
      </c>
      <c r="S14" t="inlineStr">
        <is>
          <t>mm</t>
        </is>
      </c>
      <c r="T14" t="inlineStr">
        <is>
          <t>Bolt set</t>
        </is>
      </c>
      <c r="W14" t="inlineStr">
        <is>
          <t>Studbolt ASTM A193-B7-Nuts ASTM A194-2H</t>
        </is>
      </c>
      <c r="X14" t="inlineStr">
        <is>
          <t>Studbolt DN150 ASTM A193-B7-Nuts ASTM A194-2H</t>
        </is>
      </c>
      <c r="Y14" t="inlineStr">
        <is>
          <t>CS</t>
        </is>
      </c>
      <c r="AC14" t="inlineStr">
        <is>
          <t>BOLT</t>
        </is>
      </c>
      <c r="AD14" t="inlineStr">
        <is>
          <t>BOLT</t>
        </is>
      </c>
      <c r="AE14" t="inlineStr">
        <is>
          <t>36894312-7f7b-4dce-9b48-e62ceba5c6f9</t>
        </is>
      </c>
      <c r="AF14" t="inlineStr">
        <is>
          <t>36894312-7f7b-4dce-9b48-e62ceba5c6f9</t>
        </is>
      </c>
      <c r="AK14" t="inlineStr">
        <is>
          <t>1</t>
        </is>
      </c>
      <c r="AM14" t="inlineStr">
        <is>
          <t>Fasteners</t>
        </is>
      </c>
      <c r="AN14" t="inlineStr">
        <is>
          <t>TYPE=BOLT</t>
        </is>
      </c>
      <c r="AQ14" t="inlineStr">
        <is>
          <t>3/4"</t>
        </is>
      </c>
      <c r="AR14" t="n">
        <v>8</v>
      </c>
      <c r="AS14" t="inlineStr">
        <is>
          <t>0</t>
        </is>
      </c>
      <c r="AT14" t="n">
        <v>3.937008</v>
      </c>
      <c r="AU14" t="inlineStr">
        <is>
          <t>Stud Bolt</t>
        </is>
      </c>
      <c r="AV14" t="inlineStr">
        <is>
          <t>Lg, ASTM A193, B7</t>
        </is>
      </c>
      <c r="AW14" t="inlineStr">
        <is>
          <t>ASTM A193</t>
        </is>
      </c>
      <c r="AX14" t="inlineStr">
        <is>
          <t>BoltSet</t>
        </is>
      </c>
    </row>
    <row r="15">
      <c r="B15" t="inlineStr">
        <is>
          <t>200</t>
        </is>
      </c>
      <c r="E15" t="inlineStr">
        <is>
          <t>b4e8641e-38f2-4e30-9bb9-217303b0425d</t>
        </is>
      </c>
      <c r="F15" t="inlineStr">
        <is>
          <t>ALL</t>
        </is>
      </c>
      <c r="G15" t="inlineStr">
        <is>
          <t>200</t>
        </is>
      </c>
      <c r="H15" t="inlineStr">
        <is>
          <t>mm</t>
        </is>
      </c>
      <c r="I15" t="inlineStr">
        <is>
          <t>219.1</t>
        </is>
      </c>
      <c r="M15" t="inlineStr">
        <is>
          <t>RF</t>
        </is>
      </c>
      <c r="O15" t="inlineStr">
        <is>
          <t>150</t>
        </is>
      </c>
      <c r="Q15" t="inlineStr">
        <is>
          <t>0</t>
        </is>
      </c>
      <c r="R15" t="inlineStr">
        <is>
          <t>0</t>
        </is>
      </c>
      <c r="S15" t="inlineStr">
        <is>
          <t>mm</t>
        </is>
      </c>
      <c r="T15" t="inlineStr">
        <is>
          <t>Bolt set</t>
        </is>
      </c>
      <c r="W15" t="inlineStr">
        <is>
          <t>Studbolt ASTM A193-B7-Nuts ASTM A194-2H</t>
        </is>
      </c>
      <c r="X15" t="inlineStr">
        <is>
          <t>Studbolt DN200 ASTM A193-B7-Nuts ASTM A194-2H</t>
        </is>
      </c>
      <c r="Y15" t="inlineStr">
        <is>
          <t>CS</t>
        </is>
      </c>
      <c r="AC15" t="inlineStr">
        <is>
          <t>BOLT</t>
        </is>
      </c>
      <c r="AD15" t="inlineStr">
        <is>
          <t>BOLT</t>
        </is>
      </c>
      <c r="AE15" t="inlineStr">
        <is>
          <t>36894312-7f7b-4dce-9b48-e62ceba5c6f9</t>
        </is>
      </c>
      <c r="AF15" t="inlineStr">
        <is>
          <t>36894312-7f7b-4dce-9b48-e62ceba5c6f9</t>
        </is>
      </c>
      <c r="AK15" t="inlineStr">
        <is>
          <t>1</t>
        </is>
      </c>
      <c r="AM15" t="inlineStr">
        <is>
          <t>Fasteners</t>
        </is>
      </c>
      <c r="AN15" t="inlineStr">
        <is>
          <t>TYPE=BOLT</t>
        </is>
      </c>
      <c r="AQ15" t="inlineStr">
        <is>
          <t>3/4"</t>
        </is>
      </c>
      <c r="AR15" t="n">
        <v>8</v>
      </c>
      <c r="AS15" t="inlineStr">
        <is>
          <t>0</t>
        </is>
      </c>
      <c r="AT15" t="n">
        <v>4.330709</v>
      </c>
      <c r="AU15" t="inlineStr">
        <is>
          <t>Stud Bolt</t>
        </is>
      </c>
      <c r="AV15" t="inlineStr">
        <is>
          <t>Lg, ASTM A193, B7</t>
        </is>
      </c>
      <c r="AW15" t="inlineStr">
        <is>
          <t>ASTM A193</t>
        </is>
      </c>
      <c r="AX15" t="inlineStr">
        <is>
          <t>BoltSet</t>
        </is>
      </c>
    </row>
    <row r="16">
      <c r="B16" t="inlineStr">
        <is>
          <t>250</t>
        </is>
      </c>
      <c r="E16" t="inlineStr">
        <is>
          <t>7b4e9f40-a399-4376-9684-1ac3db18c60c</t>
        </is>
      </c>
      <c r="F16" t="inlineStr">
        <is>
          <t>ALL</t>
        </is>
      </c>
      <c r="G16" t="inlineStr">
        <is>
          <t>250</t>
        </is>
      </c>
      <c r="H16" t="inlineStr">
        <is>
          <t>mm</t>
        </is>
      </c>
      <c r="I16" t="inlineStr">
        <is>
          <t>273.1</t>
        </is>
      </c>
      <c r="M16" t="inlineStr">
        <is>
          <t>RF</t>
        </is>
      </c>
      <c r="O16" t="inlineStr">
        <is>
          <t>150</t>
        </is>
      </c>
      <c r="Q16" t="inlineStr">
        <is>
          <t>0</t>
        </is>
      </c>
      <c r="R16" t="inlineStr">
        <is>
          <t>0</t>
        </is>
      </c>
      <c r="S16" t="inlineStr">
        <is>
          <t>mm</t>
        </is>
      </c>
      <c r="T16" t="inlineStr">
        <is>
          <t>Bolt set</t>
        </is>
      </c>
      <c r="W16" t="inlineStr">
        <is>
          <t>Studbolt ASTM A193-B7-Nuts ASTM A194-2H</t>
        </is>
      </c>
      <c r="X16" t="inlineStr">
        <is>
          <t>Studbolt DN250 ASTM A193-B7-Nuts ASTM A194-2H</t>
        </is>
      </c>
      <c r="Y16" t="inlineStr">
        <is>
          <t>CS</t>
        </is>
      </c>
      <c r="AC16" t="inlineStr">
        <is>
          <t>BOLT</t>
        </is>
      </c>
      <c r="AD16" t="inlineStr">
        <is>
          <t>BOLT</t>
        </is>
      </c>
      <c r="AE16" t="inlineStr">
        <is>
          <t>36894312-7f7b-4dce-9b48-e62ceba5c6f9</t>
        </is>
      </c>
      <c r="AF16" t="inlineStr">
        <is>
          <t>36894312-7f7b-4dce-9b48-e62ceba5c6f9</t>
        </is>
      </c>
      <c r="AK16" t="inlineStr">
        <is>
          <t>1</t>
        </is>
      </c>
      <c r="AM16" t="inlineStr">
        <is>
          <t>Fasteners</t>
        </is>
      </c>
      <c r="AN16" t="inlineStr">
        <is>
          <t>TYPE=BOLT</t>
        </is>
      </c>
      <c r="AQ16" t="inlineStr">
        <is>
          <t>7/8"</t>
        </is>
      </c>
      <c r="AR16" t="n">
        <v>12</v>
      </c>
      <c r="AS16" t="inlineStr">
        <is>
          <t>0</t>
        </is>
      </c>
      <c r="AT16" t="n">
        <v>4.527559</v>
      </c>
      <c r="AU16" t="inlineStr">
        <is>
          <t>Stud Bolt</t>
        </is>
      </c>
      <c r="AV16" t="inlineStr">
        <is>
          <t>Lg, ASTM A193, B7</t>
        </is>
      </c>
      <c r="AW16" t="inlineStr">
        <is>
          <t>ASTM A193</t>
        </is>
      </c>
      <c r="AX16" t="inlineStr">
        <is>
          <t>BoltSet</t>
        </is>
      </c>
    </row>
    <row r="17">
      <c r="B17" t="inlineStr">
        <is>
          <t>300</t>
        </is>
      </c>
      <c r="E17" t="inlineStr">
        <is>
          <t>e999a844-488d-4256-b68e-922598cc0584</t>
        </is>
      </c>
      <c r="F17" t="inlineStr">
        <is>
          <t>ALL</t>
        </is>
      </c>
      <c r="G17" t="inlineStr">
        <is>
          <t>300</t>
        </is>
      </c>
      <c r="H17" t="inlineStr">
        <is>
          <t>mm</t>
        </is>
      </c>
      <c r="I17" t="inlineStr">
        <is>
          <t>323.9</t>
        </is>
      </c>
      <c r="M17" t="inlineStr">
        <is>
          <t>RF</t>
        </is>
      </c>
      <c r="O17" t="inlineStr">
        <is>
          <t>150</t>
        </is>
      </c>
      <c r="Q17" t="inlineStr">
        <is>
          <t>0</t>
        </is>
      </c>
      <c r="R17" t="inlineStr">
        <is>
          <t>0</t>
        </is>
      </c>
      <c r="S17" t="inlineStr">
        <is>
          <t>mm</t>
        </is>
      </c>
      <c r="T17" t="inlineStr">
        <is>
          <t>Bolt set</t>
        </is>
      </c>
      <c r="W17" t="inlineStr">
        <is>
          <t>Studbolt ASTM A193-B7-Nuts ASTM A194-2H</t>
        </is>
      </c>
      <c r="X17" t="inlineStr">
        <is>
          <t>Studbolt DN300 ASTM A193-B7-Nuts ASTM A194-2H</t>
        </is>
      </c>
      <c r="Y17" t="inlineStr">
        <is>
          <t>CS</t>
        </is>
      </c>
      <c r="AC17" t="inlineStr">
        <is>
          <t>BOLT</t>
        </is>
      </c>
      <c r="AD17" t="inlineStr">
        <is>
          <t>BOLT</t>
        </is>
      </c>
      <c r="AE17" t="inlineStr">
        <is>
          <t>36894312-7f7b-4dce-9b48-e62ceba5c6f9</t>
        </is>
      </c>
      <c r="AF17" t="inlineStr">
        <is>
          <t>36894312-7f7b-4dce-9b48-e62ceba5c6f9</t>
        </is>
      </c>
      <c r="AK17" t="inlineStr">
        <is>
          <t>1</t>
        </is>
      </c>
      <c r="AM17" t="inlineStr">
        <is>
          <t>Fasteners</t>
        </is>
      </c>
      <c r="AN17" t="inlineStr">
        <is>
          <t>TYPE=BOLT</t>
        </is>
      </c>
      <c r="AQ17" t="inlineStr">
        <is>
          <t>7/8"</t>
        </is>
      </c>
      <c r="AR17" t="n">
        <v>12</v>
      </c>
      <c r="AS17" t="inlineStr">
        <is>
          <t>0</t>
        </is>
      </c>
      <c r="AT17" t="n">
        <v>4.724409</v>
      </c>
      <c r="AU17" t="inlineStr">
        <is>
          <t>Stud Bolt</t>
        </is>
      </c>
      <c r="AV17" t="inlineStr">
        <is>
          <t>Lg, ASTM A193, B7</t>
        </is>
      </c>
      <c r="AW17" t="inlineStr">
        <is>
          <t>ASTM A193</t>
        </is>
      </c>
      <c r="AX17" t="inlineStr">
        <is>
          <t>BoltSet</t>
        </is>
      </c>
    </row>
    <row r="18">
      <c r="B18" t="inlineStr">
        <is>
          <t>350</t>
        </is>
      </c>
      <c r="E18" t="inlineStr">
        <is>
          <t>ff8ce477-99e5-46f4-8e97-3423de49cbed</t>
        </is>
      </c>
      <c r="F18" t="inlineStr">
        <is>
          <t>ALL</t>
        </is>
      </c>
      <c r="G18" t="inlineStr">
        <is>
          <t>350</t>
        </is>
      </c>
      <c r="H18" t="inlineStr">
        <is>
          <t>mm</t>
        </is>
      </c>
      <c r="I18" t="inlineStr">
        <is>
          <t>355.6</t>
        </is>
      </c>
      <c r="M18" t="inlineStr">
        <is>
          <t>RF</t>
        </is>
      </c>
      <c r="O18" t="inlineStr">
        <is>
          <t>150</t>
        </is>
      </c>
      <c r="Q18" t="inlineStr">
        <is>
          <t>0</t>
        </is>
      </c>
      <c r="R18" t="inlineStr">
        <is>
          <t>0</t>
        </is>
      </c>
      <c r="S18" t="inlineStr">
        <is>
          <t>mm</t>
        </is>
      </c>
      <c r="T18" t="inlineStr">
        <is>
          <t>Bolt set</t>
        </is>
      </c>
      <c r="W18" t="inlineStr">
        <is>
          <t>Studbolt ASTM A193-B7-Nuts ASTM A194-2H</t>
        </is>
      </c>
      <c r="X18" t="inlineStr">
        <is>
          <t>Studbolt DN350 ASTM A193-B7-Nuts ASTM A194-2H</t>
        </is>
      </c>
      <c r="Y18" t="inlineStr">
        <is>
          <t>CS</t>
        </is>
      </c>
      <c r="AC18" t="inlineStr">
        <is>
          <t>BOLT</t>
        </is>
      </c>
      <c r="AD18" t="inlineStr">
        <is>
          <t>BOLT</t>
        </is>
      </c>
      <c r="AE18" t="inlineStr">
        <is>
          <t>36894312-7f7b-4dce-9b48-e62ceba5c6f9</t>
        </is>
      </c>
      <c r="AF18" t="inlineStr">
        <is>
          <t>36894312-7f7b-4dce-9b48-e62ceba5c6f9</t>
        </is>
      </c>
      <c r="AK18" t="inlineStr">
        <is>
          <t>1</t>
        </is>
      </c>
      <c r="AM18" t="inlineStr">
        <is>
          <t>Fasteners</t>
        </is>
      </c>
      <c r="AN18" t="inlineStr">
        <is>
          <t>TYPE=BOLT</t>
        </is>
      </c>
      <c r="AQ18" t="inlineStr">
        <is>
          <t>1"</t>
        </is>
      </c>
      <c r="AR18" t="n">
        <v>12</v>
      </c>
      <c r="AS18" t="inlineStr">
        <is>
          <t>0</t>
        </is>
      </c>
      <c r="AT18" t="n">
        <v>5.314961</v>
      </c>
      <c r="AU18" t="inlineStr">
        <is>
          <t>Stud Bolt</t>
        </is>
      </c>
      <c r="AV18" t="inlineStr">
        <is>
          <t>Lg, ASTM A193, B7</t>
        </is>
      </c>
      <c r="AW18" t="inlineStr">
        <is>
          <t>ASTM A193</t>
        </is>
      </c>
      <c r="AX18" t="inlineStr">
        <is>
          <t>BoltSet</t>
        </is>
      </c>
    </row>
    <row r="19">
      <c r="B19" t="inlineStr">
        <is>
          <t>400</t>
        </is>
      </c>
      <c r="E19" t="inlineStr">
        <is>
          <t>b3c55ce0-e223-4bcc-a37f-333936ee6546</t>
        </is>
      </c>
      <c r="F19" t="inlineStr">
        <is>
          <t>ALL</t>
        </is>
      </c>
      <c r="G19" t="inlineStr">
        <is>
          <t>400</t>
        </is>
      </c>
      <c r="H19" t="inlineStr">
        <is>
          <t>mm</t>
        </is>
      </c>
      <c r="I19" t="inlineStr">
        <is>
          <t>406.4</t>
        </is>
      </c>
      <c r="M19" t="inlineStr">
        <is>
          <t>RF</t>
        </is>
      </c>
      <c r="O19" t="inlineStr">
        <is>
          <t>150</t>
        </is>
      </c>
      <c r="Q19" t="inlineStr">
        <is>
          <t>0</t>
        </is>
      </c>
      <c r="R19" t="inlineStr">
        <is>
          <t>0</t>
        </is>
      </c>
      <c r="S19" t="inlineStr">
        <is>
          <t>mm</t>
        </is>
      </c>
      <c r="T19" t="inlineStr">
        <is>
          <t>Bolt set</t>
        </is>
      </c>
      <c r="W19" t="inlineStr">
        <is>
          <t>Studbolt ASTM A193-B7-Nuts ASTM A194-2H</t>
        </is>
      </c>
      <c r="X19" t="inlineStr">
        <is>
          <t>Studbolt DN400 ASTM A193-B7-Nuts ASTM A194-2H</t>
        </is>
      </c>
      <c r="Y19" t="inlineStr">
        <is>
          <t>CS</t>
        </is>
      </c>
      <c r="AC19" t="inlineStr">
        <is>
          <t>BOLT</t>
        </is>
      </c>
      <c r="AD19" t="inlineStr">
        <is>
          <t>BOLT</t>
        </is>
      </c>
      <c r="AE19" t="inlineStr">
        <is>
          <t>36894312-7f7b-4dce-9b48-e62ceba5c6f9</t>
        </is>
      </c>
      <c r="AF19" t="inlineStr">
        <is>
          <t>36894312-7f7b-4dce-9b48-e62ceba5c6f9</t>
        </is>
      </c>
      <c r="AK19" t="inlineStr">
        <is>
          <t>1</t>
        </is>
      </c>
      <c r="AM19" t="inlineStr">
        <is>
          <t>Fasteners</t>
        </is>
      </c>
      <c r="AN19" t="inlineStr">
        <is>
          <t>TYPE=BOLT</t>
        </is>
      </c>
      <c r="AQ19" t="inlineStr">
        <is>
          <t>1"</t>
        </is>
      </c>
      <c r="AR19" t="n">
        <v>16</v>
      </c>
      <c r="AS19" t="inlineStr">
        <is>
          <t>0</t>
        </is>
      </c>
      <c r="AT19" t="n">
        <v>5.314961</v>
      </c>
      <c r="AU19" t="inlineStr">
        <is>
          <t>Stud Bolt</t>
        </is>
      </c>
      <c r="AV19" t="inlineStr">
        <is>
          <t>Lg, ASTM A193, B7</t>
        </is>
      </c>
      <c r="AW19" t="inlineStr">
        <is>
          <t>ASTM A193</t>
        </is>
      </c>
      <c r="AX19" t="inlineStr">
        <is>
          <t>BoltSet</t>
        </is>
      </c>
    </row>
    <row r="20">
      <c r="B20" t="inlineStr">
        <is>
          <t>450</t>
        </is>
      </c>
      <c r="E20" t="inlineStr">
        <is>
          <t>14d1994f-2b15-45b5-951b-98a8c6e240d1</t>
        </is>
      </c>
      <c r="F20" t="inlineStr">
        <is>
          <t>ALL</t>
        </is>
      </c>
      <c r="G20" t="inlineStr">
        <is>
          <t>450</t>
        </is>
      </c>
      <c r="H20" t="inlineStr">
        <is>
          <t>mm</t>
        </is>
      </c>
      <c r="I20" t="inlineStr">
        <is>
          <t>457.2</t>
        </is>
      </c>
      <c r="M20" t="inlineStr">
        <is>
          <t>RF</t>
        </is>
      </c>
      <c r="O20" t="inlineStr">
        <is>
          <t>150</t>
        </is>
      </c>
      <c r="Q20" t="inlineStr">
        <is>
          <t>0</t>
        </is>
      </c>
      <c r="R20" t="inlineStr">
        <is>
          <t>0</t>
        </is>
      </c>
      <c r="S20" t="inlineStr">
        <is>
          <t>mm</t>
        </is>
      </c>
      <c r="T20" t="inlineStr">
        <is>
          <t>Bolt set</t>
        </is>
      </c>
      <c r="W20" t="inlineStr">
        <is>
          <t>Studbolt ASTM A193-B7-Nuts ASTM A194-2H</t>
        </is>
      </c>
      <c r="X20" t="inlineStr">
        <is>
          <t>Studbolt DN450 ASTM A193-B7-Nuts ASTM A194-2H</t>
        </is>
      </c>
      <c r="Y20" t="inlineStr">
        <is>
          <t>CS</t>
        </is>
      </c>
      <c r="AC20" t="inlineStr">
        <is>
          <t>BOLT</t>
        </is>
      </c>
      <c r="AD20" t="inlineStr">
        <is>
          <t>BOLT</t>
        </is>
      </c>
      <c r="AE20" t="inlineStr">
        <is>
          <t>36894312-7f7b-4dce-9b48-e62ceba5c6f9</t>
        </is>
      </c>
      <c r="AF20" t="inlineStr">
        <is>
          <t>36894312-7f7b-4dce-9b48-e62ceba5c6f9</t>
        </is>
      </c>
      <c r="AK20" t="inlineStr">
        <is>
          <t>1</t>
        </is>
      </c>
      <c r="AM20" t="inlineStr">
        <is>
          <t>Fasteners</t>
        </is>
      </c>
      <c r="AN20" t="inlineStr">
        <is>
          <t>TYPE=BOLT</t>
        </is>
      </c>
      <c r="AQ20" t="inlineStr">
        <is>
          <t>1-1/8"</t>
        </is>
      </c>
      <c r="AR20" t="n">
        <v>16</v>
      </c>
      <c r="AS20" t="inlineStr">
        <is>
          <t>0</t>
        </is>
      </c>
      <c r="AT20" t="n">
        <v>5.708661</v>
      </c>
      <c r="AU20" t="inlineStr">
        <is>
          <t>Stud Bolt</t>
        </is>
      </c>
      <c r="AV20" t="inlineStr">
        <is>
          <t>Lg, ASTM A193, B7</t>
        </is>
      </c>
      <c r="AW20" t="inlineStr">
        <is>
          <t>ASTM A193</t>
        </is>
      </c>
      <c r="AX20" t="inlineStr">
        <is>
          <t>BoltSet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cols>
    <col width="9.140625" customWidth="1" min="1" max="1"/>
    <col width="5.42578125" customWidth="1" min="2" max="2"/>
    <col width="12.140625" customWidth="1" min="3" max="3"/>
    <col width="32.42578125" customWidth="1" min="4" max="4"/>
    <col width="38.140625" customWidth="1" min="5" max="5"/>
    <col width="15.85546875" customWidth="1" min="6" max="6"/>
    <col width="23" customWidth="1" min="7" max="7"/>
    <col width="18.42578125" customWidth="1" min="8" max="8"/>
    <col width="22" customWidth="1" min="9" max="9"/>
    <col width="14.42578125" customWidth="1" min="10" max="10"/>
    <col width="15.5703125" customWidth="1" min="11" max="11"/>
    <col width="15.85546875" customWidth="1" min="12" max="12"/>
    <col width="12.28515625" customWidth="1" min="13" max="13"/>
    <col width="21.5703125" customWidth="1" min="14" max="14"/>
    <col width="19.140625" customWidth="1" min="15" max="15"/>
    <col width="15" customWidth="1" min="16" max="16"/>
    <col width="19.7109375" customWidth="1" min="17" max="17"/>
    <col width="24.140625" customWidth="1" min="18" max="18"/>
    <col width="16.7109375" customWidth="1" min="19" max="19"/>
    <col width="16" customWidth="1" min="20" max="20"/>
    <col width="19.42578125" customWidth="1" min="21" max="21"/>
    <col width="9.85546875" customWidth="1" min="22" max="22"/>
    <col width="41" customWidth="1" min="23" max="23"/>
    <col width="47.42578125" customWidth="1" min="24" max="24"/>
    <col width="8.5703125" customWidth="1" min="25" max="25"/>
    <col width="13.28515625" customWidth="1" min="26" max="26"/>
    <col width="7.5703125" customWidth="1" min="27" max="27"/>
    <col width="11.42578125" customWidth="1" min="28" max="28"/>
    <col width="5.28515625" customWidth="1" min="29" max="29"/>
    <col width="36.7109375" customWidth="1" min="31" max="31"/>
    <col width="19" customWidth="1" min="32" max="32"/>
    <col width="10" customWidth="1" min="33" max="33"/>
    <col width="13.28515625" customWidth="1" min="34" max="34"/>
    <col width="9.7109375" customWidth="1" min="35" max="35"/>
    <col width="20.42578125" customWidth="1" min="36" max="36"/>
    <col width="20.42578125" customWidth="1" min="37" max="37"/>
    <col width="22.42578125" customWidth="1" min="38" max="38"/>
    <col width="12.42578125" customWidth="1" min="39" max="39"/>
    <col width="26.85546875" customWidth="1" min="40" max="40"/>
    <col width="11.42578125" customWidth="1" min="41" max="41"/>
    <col width="6.42578125" customWidth="1" min="42" max="42"/>
    <col width="8.140625" customWidth="1" min="43" max="43"/>
    <col width="12.85546875" customWidth="1" min="44" max="44"/>
    <col width="8.28515625" customWidth="1" min="45" max="45"/>
    <col width="7" customWidth="1" min="46" max="46"/>
    <col width="19.7109375" customWidth="1" min="47" max="47"/>
    <col width="15.28515625" customWidth="1" min="48" max="48"/>
    <col width="18" customWidth="1" min="49" max="49"/>
    <col width="14.28515625" customWidth="1" min="50" max="50"/>
    <col width="22.7109375" customWidth="1" min="51" max="51"/>
    <col width="9.140625" customWidth="1" min="52" max="52"/>
  </cols>
  <sheetData>
    <row r="1">
      <c r="A1" t="inlineStr">
        <is>
          <t>Previews</t>
        </is>
      </c>
      <c r="B1" t="inlineStr">
        <is>
          <t>Sizes</t>
        </is>
      </c>
      <c r="C1" t="inlineStr">
        <is>
          <t>ShapeName</t>
        </is>
      </c>
      <c r="D1" t="inlineStr">
        <is>
          <t>ContentGeometryParamDefinition</t>
        </is>
      </c>
      <c r="E1" t="inlineStr">
        <is>
          <t>SizeRecordId_S-ALL</t>
        </is>
      </c>
      <c r="F1" t="inlineStr">
        <is>
          <t>PortName_S-ALL</t>
        </is>
      </c>
      <c r="G1" t="inlineStr">
        <is>
          <t>NominalDiameter_S-ALL</t>
        </is>
      </c>
      <c r="H1" t="inlineStr">
        <is>
          <t>NominalUnit_S-ALL</t>
        </is>
      </c>
      <c r="I1" t="inlineStr">
        <is>
          <t>MatchingPipeOd_S-ALL</t>
        </is>
      </c>
      <c r="J1" t="inlineStr">
        <is>
          <t>EndType_S-ALL</t>
        </is>
      </c>
      <c r="K1" t="inlineStr">
        <is>
          <t>FlangeStd_S-ALL</t>
        </is>
      </c>
      <c r="L1" t="inlineStr">
        <is>
          <t>GasketStd_S-ALL</t>
        </is>
      </c>
      <c r="M1" t="inlineStr">
        <is>
          <t>Facing_S-ALL</t>
        </is>
      </c>
      <c r="N1" t="inlineStr">
        <is>
          <t>FlangeThickness_S-ALL</t>
        </is>
      </c>
      <c r="O1" t="inlineStr">
        <is>
          <t>PressureClass_S-ALL</t>
        </is>
      </c>
      <c r="P1" t="inlineStr">
        <is>
          <t>Schedule_S-ALL</t>
        </is>
      </c>
      <c r="Q1" t="inlineStr">
        <is>
          <t>WallThickness_S-ALL</t>
        </is>
      </c>
      <c r="R1" t="inlineStr">
        <is>
          <t>EngagementLength_S-ALL</t>
        </is>
      </c>
      <c r="S1" t="inlineStr">
        <is>
          <t>LengthUnit_S-ALL</t>
        </is>
      </c>
      <c r="T1" t="inlineStr">
        <is>
          <t>ShortDescription</t>
        </is>
      </c>
      <c r="U1" t="inlineStr">
        <is>
          <t>CompatibleStandard</t>
        </is>
      </c>
      <c r="V1" t="inlineStr">
        <is>
          <t>DesignStd</t>
        </is>
      </c>
      <c r="W1" t="inlineStr">
        <is>
          <t>PartFamilyLongDesc</t>
        </is>
      </c>
      <c r="X1" t="inlineStr">
        <is>
          <t>PartSizeLongDesc</t>
        </is>
      </c>
      <c r="Y1" t="inlineStr">
        <is>
          <t>Material</t>
        </is>
      </c>
      <c r="Z1" t="inlineStr">
        <is>
          <t>MaterialCode</t>
        </is>
      </c>
      <c r="AA1" t="inlineStr">
        <is>
          <t>Weight</t>
        </is>
      </c>
      <c r="AB1" t="inlineStr">
        <is>
          <t>WeightUnit</t>
        </is>
      </c>
      <c r="AC1" t="inlineStr">
        <is>
          <t>SKEY</t>
        </is>
      </c>
      <c r="AD1" t="inlineStr">
        <is>
          <t>TYPE</t>
        </is>
      </c>
      <c r="AE1" t="inlineStr">
        <is>
          <t>PartFamilyId</t>
        </is>
      </c>
      <c r="AF1" t="inlineStr">
        <is>
          <t>CatalogPartFamilyId</t>
        </is>
      </c>
      <c r="AG1" t="inlineStr">
        <is>
          <t>PartStatus</t>
        </is>
      </c>
      <c r="AH1" t="inlineStr">
        <is>
          <t>Manufacturer</t>
        </is>
      </c>
      <c r="AI1" t="inlineStr">
        <is>
          <t>ItemCode</t>
        </is>
      </c>
      <c r="AJ1" t="inlineStr">
        <is>
          <t>DesignPressureFactor</t>
        </is>
      </c>
      <c r="AK1" t="inlineStr">
        <is>
          <t>ConnectionPortCount</t>
        </is>
      </c>
      <c r="AL1" t="inlineStr">
        <is>
          <t>ComponentDesignation</t>
        </is>
      </c>
      <c r="AM1" t="inlineStr">
        <is>
          <t>PartCategory</t>
        </is>
      </c>
      <c r="AN1" t="inlineStr">
        <is>
          <t>ContentIsoSymbolDefinition</t>
        </is>
      </c>
      <c r="AO1" t="inlineStr">
        <is>
          <t>PartVersion</t>
        </is>
      </c>
      <c r="AP1" t="inlineStr">
        <is>
          <t>Status</t>
        </is>
      </c>
      <c r="AQ1" t="inlineStr">
        <is>
          <t>BoltSize</t>
        </is>
      </c>
      <c r="AR1" t="inlineStr">
        <is>
          <t>NumberInSet</t>
        </is>
      </c>
      <c r="AS1" t="inlineStr">
        <is>
          <t>IsLugSet</t>
        </is>
      </c>
      <c r="AT1" t="inlineStr">
        <is>
          <t>Length</t>
        </is>
      </c>
      <c r="AU1" t="inlineStr">
        <is>
          <t>StudTypeDescription</t>
        </is>
      </c>
      <c r="AV1" t="inlineStr">
        <is>
          <t>StudDescription</t>
        </is>
      </c>
      <c r="AW1" t="inlineStr">
        <is>
          <t>BoltCompatibleStd</t>
        </is>
      </c>
      <c r="AX1" t="inlineStr">
        <is>
          <t>PnPClassName</t>
        </is>
      </c>
      <c r="AY1" t="inlineStr">
        <is>
          <t>ExcelFormatVersion_2.0</t>
        </is>
      </c>
    </row>
    <row r="2">
      <c r="A2" t="inlineStr">
        <is>
          <t>Preview</t>
        </is>
      </c>
      <c r="B2" t="inlineStr">
        <is>
          <t>Sizes</t>
        </is>
      </c>
      <c r="C2" t="inlineStr">
        <is>
          <t>Shape Name</t>
        </is>
      </c>
      <c r="D2" t="inlineStr">
        <is>
          <t>ContentGeometryParamDefinition</t>
        </is>
      </c>
      <c r="E2" t="inlineStr">
        <is>
          <t>SizeRecordId_S-ALL</t>
        </is>
      </c>
      <c r="F2" t="inlineStr">
        <is>
          <t>PortName_S-ALL</t>
        </is>
      </c>
      <c r="G2" t="inlineStr">
        <is>
          <t>NominalDiameter_S-ALL</t>
        </is>
      </c>
      <c r="H2" t="inlineStr">
        <is>
          <t>NominalUnit_S-ALL</t>
        </is>
      </c>
      <c r="I2" t="inlineStr">
        <is>
          <t>MatchingPipeOd_S-ALL</t>
        </is>
      </c>
      <c r="J2" t="inlineStr">
        <is>
          <t>EndType_S-ALL</t>
        </is>
      </c>
      <c r="K2" t="inlineStr">
        <is>
          <t>FlangeStd_S-ALL</t>
        </is>
      </c>
      <c r="L2" t="inlineStr">
        <is>
          <t>GasketStd_S-ALL</t>
        </is>
      </c>
      <c r="M2" t="inlineStr">
        <is>
          <t>Facing_S-ALL</t>
        </is>
      </c>
      <c r="N2" t="inlineStr">
        <is>
          <t>FlangeThickness_S-ALL</t>
        </is>
      </c>
      <c r="O2" t="inlineStr">
        <is>
          <t>PressureClass_S-ALL</t>
        </is>
      </c>
      <c r="P2" t="inlineStr">
        <is>
          <t>Schedule_S-ALL</t>
        </is>
      </c>
      <c r="Q2" t="inlineStr">
        <is>
          <t>WallThickness_S-ALL</t>
        </is>
      </c>
      <c r="R2" t="inlineStr">
        <is>
          <t>EngagementLength_S-ALL</t>
        </is>
      </c>
      <c r="S2" t="inlineStr">
        <is>
          <t>LengthUnit_S-ALL</t>
        </is>
      </c>
      <c r="T2" t="inlineStr">
        <is>
          <t>ShortDescription</t>
        </is>
      </c>
      <c r="U2" t="inlineStr">
        <is>
          <t>CompatibleStandard</t>
        </is>
      </c>
      <c r="V2" t="inlineStr">
        <is>
          <t>DesignStd</t>
        </is>
      </c>
      <c r="W2" t="inlineStr">
        <is>
          <t>PartFamilyLongDesc</t>
        </is>
      </c>
      <c r="X2" t="inlineStr">
        <is>
          <t>PartSizeLongDesc</t>
        </is>
      </c>
      <c r="Y2" t="inlineStr">
        <is>
          <t>Material</t>
        </is>
      </c>
      <c r="Z2" t="inlineStr">
        <is>
          <t>MaterialCode</t>
        </is>
      </c>
      <c r="AA2" t="inlineStr">
        <is>
          <t>Weight</t>
        </is>
      </c>
      <c r="AB2" t="inlineStr">
        <is>
          <t>WeightUnit</t>
        </is>
      </c>
      <c r="AC2" t="inlineStr">
        <is>
          <t>SKEY</t>
        </is>
      </c>
      <c r="AD2" t="inlineStr">
        <is>
          <t>TYPE</t>
        </is>
      </c>
      <c r="AE2" t="inlineStr">
        <is>
          <t>PartFamilyId</t>
        </is>
      </c>
      <c r="AF2" t="inlineStr">
        <is>
          <t>CatalogPartFamilyId</t>
        </is>
      </c>
      <c r="AG2" t="inlineStr">
        <is>
          <t>PartStatus</t>
        </is>
      </c>
      <c r="AH2" t="inlineStr">
        <is>
          <t>Manufacturer</t>
        </is>
      </c>
      <c r="AI2" t="inlineStr">
        <is>
          <t>ItemCode</t>
        </is>
      </c>
      <c r="AJ2" t="inlineStr">
        <is>
          <t>DesignPressureFactor</t>
        </is>
      </c>
      <c r="AK2" t="inlineStr">
        <is>
          <t>ConnectionPortCount</t>
        </is>
      </c>
      <c r="AL2" t="inlineStr">
        <is>
          <t>ComponentDesignation</t>
        </is>
      </c>
      <c r="AM2" t="inlineStr">
        <is>
          <t>PartCategory</t>
        </is>
      </c>
      <c r="AN2" t="inlineStr">
        <is>
          <t>ContentIsoSymbolDefinition</t>
        </is>
      </c>
      <c r="AO2" t="inlineStr">
        <is>
          <t>PartVersion</t>
        </is>
      </c>
      <c r="AP2" t="inlineStr">
        <is>
          <t>Status</t>
        </is>
      </c>
      <c r="AQ2" t="inlineStr">
        <is>
          <t>BoltSize</t>
        </is>
      </c>
      <c r="AR2" t="inlineStr">
        <is>
          <t>NumberInSet</t>
        </is>
      </c>
      <c r="AS2" t="inlineStr">
        <is>
          <t>IsLugSet</t>
        </is>
      </c>
      <c r="AT2" t="inlineStr">
        <is>
          <t>Length</t>
        </is>
      </c>
      <c r="AU2" t="inlineStr">
        <is>
          <t>StudTypeDescription</t>
        </is>
      </c>
      <c r="AV2" t="inlineStr">
        <is>
          <t>StudDescription</t>
        </is>
      </c>
      <c r="AW2" t="inlineStr">
        <is>
          <t>BoltCompatibleStd</t>
        </is>
      </c>
      <c r="AX2" t="inlineStr">
        <is>
          <t>PnPClassName</t>
        </is>
      </c>
      <c r="AY2" t="inlineStr">
        <is>
          <t>ExcelFormatVersion_2.0</t>
        </is>
      </c>
    </row>
    <row r="3">
      <c r="B3" t="inlineStr">
        <is>
          <t>15</t>
        </is>
      </c>
      <c r="E3" t="inlineStr">
        <is>
          <t>2fa45d94-566f-481e-9b0c-031893bcf95b</t>
        </is>
      </c>
      <c r="F3" t="inlineStr">
        <is>
          <t>ALL</t>
        </is>
      </c>
      <c r="G3" t="inlineStr">
        <is>
          <t>15</t>
        </is>
      </c>
      <c r="H3" t="inlineStr">
        <is>
          <t>mm</t>
        </is>
      </c>
      <c r="I3" t="inlineStr">
        <is>
          <t>21.34</t>
        </is>
      </c>
      <c r="M3" t="inlineStr">
        <is>
          <t>RF</t>
        </is>
      </c>
      <c r="O3" t="inlineStr">
        <is>
          <t>150</t>
        </is>
      </c>
      <c r="Q3" t="inlineStr">
        <is>
          <t>0</t>
        </is>
      </c>
      <c r="R3" t="inlineStr">
        <is>
          <t>0</t>
        </is>
      </c>
      <c r="S3" t="inlineStr">
        <is>
          <t>mm</t>
        </is>
      </c>
      <c r="T3" t="inlineStr">
        <is>
          <t>Bolt set</t>
        </is>
      </c>
      <c r="W3" t="inlineStr">
        <is>
          <t>Studbolt ASTM A193-B7-Nuts ASTM A194-2H</t>
        </is>
      </c>
      <c r="X3" t="inlineStr">
        <is>
          <t>Studbolt DN15 ASTM A193-B7-Nuts ASTM A194-2H</t>
        </is>
      </c>
      <c r="Y3" t="inlineStr">
        <is>
          <t>CS</t>
        </is>
      </c>
      <c r="AC3" t="inlineStr">
        <is>
          <t>BOLT</t>
        </is>
      </c>
      <c r="AD3" t="inlineStr">
        <is>
          <t>BOLT</t>
        </is>
      </c>
      <c r="AE3" t="inlineStr">
        <is>
          <t>36894312-7f7b-4dce-9b48-e62ceba5c6f9</t>
        </is>
      </c>
      <c r="AF3" t="inlineStr">
        <is>
          <t>36894312-7f7b-4dce-9b48-e62ceba5c6f9</t>
        </is>
      </c>
      <c r="AK3" t="inlineStr">
        <is>
          <t>1</t>
        </is>
      </c>
      <c r="AM3" t="inlineStr">
        <is>
          <t>Fasteners</t>
        </is>
      </c>
      <c r="AN3" t="inlineStr">
        <is>
          <t>TYPE=BOLT</t>
        </is>
      </c>
      <c r="AQ3" t="inlineStr">
        <is>
          <t>1/2"</t>
        </is>
      </c>
      <c r="AR3" t="n">
        <v>4</v>
      </c>
      <c r="AS3" t="inlineStr">
        <is>
          <t>0</t>
        </is>
      </c>
      <c r="AT3" t="n">
        <v>2.165354</v>
      </c>
      <c r="AU3" t="inlineStr">
        <is>
          <t>Stud Bolt</t>
        </is>
      </c>
      <c r="AV3" t="inlineStr">
        <is>
          <t>Lg, ASTM A193, B7</t>
        </is>
      </c>
      <c r="AW3" t="inlineStr">
        <is>
          <t>ASTM A193</t>
        </is>
      </c>
      <c r="AX3" t="inlineStr">
        <is>
          <t>BoltSet</t>
        </is>
      </c>
    </row>
    <row r="4">
      <c r="B4" t="inlineStr">
        <is>
          <t>20</t>
        </is>
      </c>
      <c r="E4" t="inlineStr">
        <is>
          <t>ad9eff73-6400-4bc3-a9f0-1c9c08080f61</t>
        </is>
      </c>
      <c r="F4" t="inlineStr">
        <is>
          <t>ALL</t>
        </is>
      </c>
      <c r="G4" t="inlineStr">
        <is>
          <t>20</t>
        </is>
      </c>
      <c r="H4" t="inlineStr">
        <is>
          <t>mm</t>
        </is>
      </c>
      <c r="I4" t="inlineStr">
        <is>
          <t>26.67</t>
        </is>
      </c>
      <c r="M4" t="inlineStr">
        <is>
          <t>RF</t>
        </is>
      </c>
      <c r="O4" t="inlineStr">
        <is>
          <t>150</t>
        </is>
      </c>
      <c r="Q4" t="inlineStr">
        <is>
          <t>0</t>
        </is>
      </c>
      <c r="R4" t="inlineStr">
        <is>
          <t>0</t>
        </is>
      </c>
      <c r="S4" t="inlineStr">
        <is>
          <t>mm</t>
        </is>
      </c>
      <c r="T4" t="inlineStr">
        <is>
          <t>Bolt set</t>
        </is>
      </c>
      <c r="W4" t="inlineStr">
        <is>
          <t>Studbolt ASTM A193-B7-Nuts ASTM A194-2H</t>
        </is>
      </c>
      <c r="X4" t="inlineStr">
        <is>
          <t>Studbolt DN20 ASTM A193-B7-Nuts ASTM A194-2H</t>
        </is>
      </c>
      <c r="Y4" t="inlineStr">
        <is>
          <t>CS</t>
        </is>
      </c>
      <c r="AC4" t="inlineStr">
        <is>
          <t>BOLT</t>
        </is>
      </c>
      <c r="AD4" t="inlineStr">
        <is>
          <t>BOLT</t>
        </is>
      </c>
      <c r="AE4" t="inlineStr">
        <is>
          <t>36894312-7f7b-4dce-9b48-e62ceba5c6f9</t>
        </is>
      </c>
      <c r="AF4" t="inlineStr">
        <is>
          <t>36894312-7f7b-4dce-9b48-e62ceba5c6f9</t>
        </is>
      </c>
      <c r="AK4" t="inlineStr">
        <is>
          <t>1</t>
        </is>
      </c>
      <c r="AM4" t="inlineStr">
        <is>
          <t>Fasteners</t>
        </is>
      </c>
      <c r="AN4" t="inlineStr">
        <is>
          <t>TYPE=BOLT</t>
        </is>
      </c>
      <c r="AQ4" t="inlineStr">
        <is>
          <t>1/2"</t>
        </is>
      </c>
      <c r="AR4" t="n">
        <v>4</v>
      </c>
      <c r="AS4" t="inlineStr">
        <is>
          <t>0</t>
        </is>
      </c>
      <c r="AT4" t="n">
        <v>2.559055</v>
      </c>
      <c r="AU4" t="inlineStr">
        <is>
          <t>Stud Bolt</t>
        </is>
      </c>
      <c r="AV4" t="inlineStr">
        <is>
          <t>Lg, ASTM A193, B7</t>
        </is>
      </c>
      <c r="AW4" t="inlineStr">
        <is>
          <t>ASTM A193</t>
        </is>
      </c>
      <c r="AX4" t="inlineStr">
        <is>
          <t>BoltSet</t>
        </is>
      </c>
    </row>
    <row r="5">
      <c r="B5" t="inlineStr">
        <is>
          <t>25</t>
        </is>
      </c>
      <c r="E5" t="inlineStr">
        <is>
          <t>37615cec-e432-45ee-94f4-c15dbc4b9237</t>
        </is>
      </c>
      <c r="F5" t="inlineStr">
        <is>
          <t>ALL</t>
        </is>
      </c>
      <c r="G5" t="inlineStr">
        <is>
          <t>25</t>
        </is>
      </c>
      <c r="H5" t="inlineStr">
        <is>
          <t>mm</t>
        </is>
      </c>
      <c r="I5" t="inlineStr">
        <is>
          <t>33.4</t>
        </is>
      </c>
      <c r="M5" t="inlineStr">
        <is>
          <t>RF</t>
        </is>
      </c>
      <c r="O5" t="inlineStr">
        <is>
          <t>150</t>
        </is>
      </c>
      <c r="Q5" t="inlineStr">
        <is>
          <t>0</t>
        </is>
      </c>
      <c r="R5" t="inlineStr">
        <is>
          <t>0</t>
        </is>
      </c>
      <c r="S5" t="inlineStr">
        <is>
          <t>mm</t>
        </is>
      </c>
      <c r="T5" t="inlineStr">
        <is>
          <t>Bolt set</t>
        </is>
      </c>
      <c r="W5" t="inlineStr">
        <is>
          <t>Studbolt ASTM A193-B7-Nuts ASTM A194-2H</t>
        </is>
      </c>
      <c r="X5" t="inlineStr">
        <is>
          <t>Studbolt DN25 ASTM A193-B7-Nuts ASTM A194-2H</t>
        </is>
      </c>
      <c r="Y5" t="inlineStr">
        <is>
          <t>CS</t>
        </is>
      </c>
      <c r="AC5" t="inlineStr">
        <is>
          <t>BOLT</t>
        </is>
      </c>
      <c r="AD5" t="inlineStr">
        <is>
          <t>BOLT</t>
        </is>
      </c>
      <c r="AE5" t="inlineStr">
        <is>
          <t>36894312-7f7b-4dce-9b48-e62ceba5c6f9</t>
        </is>
      </c>
      <c r="AF5" t="inlineStr">
        <is>
          <t>36894312-7f7b-4dce-9b48-e62ceba5c6f9</t>
        </is>
      </c>
      <c r="AK5" t="inlineStr">
        <is>
          <t>1</t>
        </is>
      </c>
      <c r="AM5" t="inlineStr">
        <is>
          <t>Fasteners</t>
        </is>
      </c>
      <c r="AN5" t="inlineStr">
        <is>
          <t>TYPE=BOLT</t>
        </is>
      </c>
      <c r="AQ5" t="inlineStr">
        <is>
          <t>1/2"</t>
        </is>
      </c>
      <c r="AR5" t="n">
        <v>4</v>
      </c>
      <c r="AS5" t="inlineStr">
        <is>
          <t>0</t>
        </is>
      </c>
      <c r="AT5" t="n">
        <v>2.559055</v>
      </c>
      <c r="AU5" t="inlineStr">
        <is>
          <t>Stud Bolt</t>
        </is>
      </c>
      <c r="AV5" t="inlineStr">
        <is>
          <t>Lg, ASTM A193, B7</t>
        </is>
      </c>
      <c r="AW5" t="inlineStr">
        <is>
          <t>ASTM A193</t>
        </is>
      </c>
      <c r="AX5" t="inlineStr">
        <is>
          <t>BoltSet</t>
        </is>
      </c>
    </row>
    <row r="6">
      <c r="B6" t="inlineStr">
        <is>
          <t>32</t>
        </is>
      </c>
      <c r="E6" t="inlineStr">
        <is>
          <t>4e597f0a-1b80-4126-83b6-4c37e027cdac</t>
        </is>
      </c>
      <c r="F6" t="inlineStr">
        <is>
          <t>ALL</t>
        </is>
      </c>
      <c r="G6" t="inlineStr">
        <is>
          <t>32</t>
        </is>
      </c>
      <c r="H6" t="inlineStr">
        <is>
          <t>mm</t>
        </is>
      </c>
      <c r="I6" t="inlineStr">
        <is>
          <t>42.16</t>
        </is>
      </c>
      <c r="M6" t="inlineStr">
        <is>
          <t>RF</t>
        </is>
      </c>
      <c r="O6" t="inlineStr">
        <is>
          <t>150</t>
        </is>
      </c>
      <c r="Q6" t="inlineStr">
        <is>
          <t>0</t>
        </is>
      </c>
      <c r="R6" t="inlineStr">
        <is>
          <t>0</t>
        </is>
      </c>
      <c r="S6" t="inlineStr">
        <is>
          <t>mm</t>
        </is>
      </c>
      <c r="T6" t="inlineStr">
        <is>
          <t>Bolt set</t>
        </is>
      </c>
      <c r="W6" t="inlineStr">
        <is>
          <t>Studbolt ASTM A193-B7-Nuts ASTM A194-2H</t>
        </is>
      </c>
      <c r="X6" t="inlineStr">
        <is>
          <t>Studbolt DN32 ASTM A193-B7-Nuts ASTM A194-2H</t>
        </is>
      </c>
      <c r="Y6" t="inlineStr">
        <is>
          <t>CS</t>
        </is>
      </c>
      <c r="AC6" t="inlineStr">
        <is>
          <t>BOLT</t>
        </is>
      </c>
      <c r="AD6" t="inlineStr">
        <is>
          <t>BOLT</t>
        </is>
      </c>
      <c r="AE6" t="inlineStr">
        <is>
          <t>36894312-7f7b-4dce-9b48-e62ceba5c6f9</t>
        </is>
      </c>
      <c r="AF6" t="inlineStr">
        <is>
          <t>36894312-7f7b-4dce-9b48-e62ceba5c6f9</t>
        </is>
      </c>
      <c r="AK6" t="inlineStr">
        <is>
          <t>1</t>
        </is>
      </c>
      <c r="AM6" t="inlineStr">
        <is>
          <t>Fasteners</t>
        </is>
      </c>
      <c r="AN6" t="inlineStr">
        <is>
          <t>TYPE=BOLT</t>
        </is>
      </c>
      <c r="AQ6" t="inlineStr">
        <is>
          <t>1/2"</t>
        </is>
      </c>
      <c r="AR6" t="n">
        <v>4</v>
      </c>
      <c r="AS6" t="inlineStr">
        <is>
          <t>0</t>
        </is>
      </c>
      <c r="AT6" t="n">
        <v>2.755906</v>
      </c>
      <c r="AU6" t="inlineStr">
        <is>
          <t>Stud Bolt</t>
        </is>
      </c>
      <c r="AV6" t="inlineStr">
        <is>
          <t>Lg, ASTM A193, B7</t>
        </is>
      </c>
      <c r="AW6" t="inlineStr">
        <is>
          <t>ASTM A193</t>
        </is>
      </c>
      <c r="AX6" t="inlineStr">
        <is>
          <t>BoltSet</t>
        </is>
      </c>
    </row>
    <row r="7">
      <c r="B7" t="inlineStr">
        <is>
          <t>40</t>
        </is>
      </c>
      <c r="E7" t="inlineStr">
        <is>
          <t>1b49458a-bab6-4488-b321-ee35be3dc0e1</t>
        </is>
      </c>
      <c r="F7" t="inlineStr">
        <is>
          <t>ALL</t>
        </is>
      </c>
      <c r="G7" t="inlineStr">
        <is>
          <t>40</t>
        </is>
      </c>
      <c r="H7" t="inlineStr">
        <is>
          <t>mm</t>
        </is>
      </c>
      <c r="I7" t="inlineStr">
        <is>
          <t>48.26</t>
        </is>
      </c>
      <c r="M7" t="inlineStr">
        <is>
          <t>RF</t>
        </is>
      </c>
      <c r="O7" t="inlineStr">
        <is>
          <t>150</t>
        </is>
      </c>
      <c r="Q7" t="inlineStr">
        <is>
          <t>0</t>
        </is>
      </c>
      <c r="R7" t="inlineStr">
        <is>
          <t>0</t>
        </is>
      </c>
      <c r="S7" t="inlineStr">
        <is>
          <t>mm</t>
        </is>
      </c>
      <c r="T7" t="inlineStr">
        <is>
          <t>Bolt set</t>
        </is>
      </c>
      <c r="W7" t="inlineStr">
        <is>
          <t>Studbolt ASTM A193-B7-Nuts ASTM A194-2H</t>
        </is>
      </c>
      <c r="X7" t="inlineStr">
        <is>
          <t>Studbolt DN40 ASTM A193-B7-Nuts ASTM A194-2H</t>
        </is>
      </c>
      <c r="Y7" t="inlineStr">
        <is>
          <t>CS</t>
        </is>
      </c>
      <c r="AC7" t="inlineStr">
        <is>
          <t>BOLT</t>
        </is>
      </c>
      <c r="AD7" t="inlineStr">
        <is>
          <t>BOLT</t>
        </is>
      </c>
      <c r="AE7" t="inlineStr">
        <is>
          <t>36894312-7f7b-4dce-9b48-e62ceba5c6f9</t>
        </is>
      </c>
      <c r="AF7" t="inlineStr">
        <is>
          <t>36894312-7f7b-4dce-9b48-e62ceba5c6f9</t>
        </is>
      </c>
      <c r="AK7" t="inlineStr">
        <is>
          <t>1</t>
        </is>
      </c>
      <c r="AM7" t="inlineStr">
        <is>
          <t>Fasteners</t>
        </is>
      </c>
      <c r="AN7" t="inlineStr">
        <is>
          <t>TYPE=BOLT</t>
        </is>
      </c>
      <c r="AQ7" t="inlineStr">
        <is>
          <t>1/2"</t>
        </is>
      </c>
      <c r="AR7" t="n">
        <v>4</v>
      </c>
      <c r="AS7" t="inlineStr">
        <is>
          <t>0</t>
        </is>
      </c>
      <c r="AT7" t="n">
        <v>2.755906</v>
      </c>
      <c r="AU7" t="inlineStr">
        <is>
          <t>Stud Bolt</t>
        </is>
      </c>
      <c r="AV7" t="inlineStr">
        <is>
          <t>Lg, ASTM A193, B7</t>
        </is>
      </c>
      <c r="AW7" t="inlineStr">
        <is>
          <t>ASTM A193</t>
        </is>
      </c>
      <c r="AX7" t="inlineStr">
        <is>
          <t>BoltSet</t>
        </is>
      </c>
    </row>
    <row r="8">
      <c r="B8" t="inlineStr">
        <is>
          <t>50</t>
        </is>
      </c>
      <c r="E8" t="inlineStr">
        <is>
          <t>6b3ed705-5ddd-4c41-8848-8e0c60f0ebb5</t>
        </is>
      </c>
      <c r="F8" t="inlineStr">
        <is>
          <t>ALL</t>
        </is>
      </c>
      <c r="G8" t="inlineStr">
        <is>
          <t>50</t>
        </is>
      </c>
      <c r="H8" t="inlineStr">
        <is>
          <t>mm</t>
        </is>
      </c>
      <c r="I8" t="inlineStr">
        <is>
          <t>60.32</t>
        </is>
      </c>
      <c r="M8" t="inlineStr">
        <is>
          <t>RF</t>
        </is>
      </c>
      <c r="O8" t="inlineStr">
        <is>
          <t>150</t>
        </is>
      </c>
      <c r="Q8" t="inlineStr">
        <is>
          <t>0</t>
        </is>
      </c>
      <c r="R8" t="inlineStr">
        <is>
          <t>0</t>
        </is>
      </c>
      <c r="S8" t="inlineStr">
        <is>
          <t>mm</t>
        </is>
      </c>
      <c r="T8" t="inlineStr">
        <is>
          <t>Bolt set</t>
        </is>
      </c>
      <c r="W8" t="inlineStr">
        <is>
          <t>Studbolt ASTM A193-B7-Nuts ASTM A194-2H</t>
        </is>
      </c>
      <c r="X8" t="inlineStr">
        <is>
          <t>Studbolt DN50 ASTM A193-B7-Nuts ASTM A194-2H</t>
        </is>
      </c>
      <c r="Y8" t="inlineStr">
        <is>
          <t>CS</t>
        </is>
      </c>
      <c r="AC8" t="inlineStr">
        <is>
          <t>BOLT</t>
        </is>
      </c>
      <c r="AD8" t="inlineStr">
        <is>
          <t>BOLT</t>
        </is>
      </c>
      <c r="AE8" t="inlineStr">
        <is>
          <t>36894312-7f7b-4dce-9b48-e62ceba5c6f9</t>
        </is>
      </c>
      <c r="AF8" t="inlineStr">
        <is>
          <t>36894312-7f7b-4dce-9b48-e62ceba5c6f9</t>
        </is>
      </c>
      <c r="AK8" t="inlineStr">
        <is>
          <t>1</t>
        </is>
      </c>
      <c r="AM8" t="inlineStr">
        <is>
          <t>Fasteners</t>
        </is>
      </c>
      <c r="AN8" t="inlineStr">
        <is>
          <t>TYPE=BOLT</t>
        </is>
      </c>
      <c r="AQ8" t="inlineStr">
        <is>
          <t>5/8"</t>
        </is>
      </c>
      <c r="AR8" t="n">
        <v>4</v>
      </c>
      <c r="AS8" t="inlineStr">
        <is>
          <t>0</t>
        </is>
      </c>
      <c r="AT8" t="n">
        <v>3.346457</v>
      </c>
      <c r="AU8" t="inlineStr">
        <is>
          <t>Stud Bolt</t>
        </is>
      </c>
      <c r="AV8" t="inlineStr">
        <is>
          <t>Lg, ASTM A193, B7</t>
        </is>
      </c>
      <c r="AW8" t="inlineStr">
        <is>
          <t>ASTM A193</t>
        </is>
      </c>
      <c r="AX8" t="inlineStr">
        <is>
          <t>BoltSet</t>
        </is>
      </c>
    </row>
    <row r="9">
      <c r="B9" t="inlineStr">
        <is>
          <t>65</t>
        </is>
      </c>
      <c r="E9" t="inlineStr">
        <is>
          <t>be879cb0-b70d-4938-8deb-5f72a181dcab</t>
        </is>
      </c>
      <c r="F9" t="inlineStr">
        <is>
          <t>ALL</t>
        </is>
      </c>
      <c r="G9" t="inlineStr">
        <is>
          <t>65</t>
        </is>
      </c>
      <c r="H9" t="inlineStr">
        <is>
          <t>mm</t>
        </is>
      </c>
      <c r="I9" t="inlineStr">
        <is>
          <t>73.03</t>
        </is>
      </c>
      <c r="M9" t="inlineStr">
        <is>
          <t>RF</t>
        </is>
      </c>
      <c r="O9" t="inlineStr">
        <is>
          <t>150</t>
        </is>
      </c>
      <c r="Q9" t="inlineStr">
        <is>
          <t>0</t>
        </is>
      </c>
      <c r="R9" t="inlineStr">
        <is>
          <t>0</t>
        </is>
      </c>
      <c r="S9" t="inlineStr">
        <is>
          <t>mm</t>
        </is>
      </c>
      <c r="T9" t="inlineStr">
        <is>
          <t>Bolt set</t>
        </is>
      </c>
      <c r="W9" t="inlineStr">
        <is>
          <t>Studbolt ASTM A193-B7-Nuts ASTM A194-2H</t>
        </is>
      </c>
      <c r="X9" t="inlineStr">
        <is>
          <t>Studbolt DN65 ASTM A193-B7-Nuts ASTM A194-2H</t>
        </is>
      </c>
      <c r="Y9" t="inlineStr">
        <is>
          <t>CS</t>
        </is>
      </c>
      <c r="AC9" t="inlineStr">
        <is>
          <t>BOLT</t>
        </is>
      </c>
      <c r="AD9" t="inlineStr">
        <is>
          <t>BOLT</t>
        </is>
      </c>
      <c r="AE9" t="inlineStr">
        <is>
          <t>36894312-7f7b-4dce-9b48-e62ceba5c6f9</t>
        </is>
      </c>
      <c r="AF9" t="inlineStr">
        <is>
          <t>36894312-7f7b-4dce-9b48-e62ceba5c6f9</t>
        </is>
      </c>
      <c r="AK9" t="inlineStr">
        <is>
          <t>1</t>
        </is>
      </c>
      <c r="AM9" t="inlineStr">
        <is>
          <t>Fasteners</t>
        </is>
      </c>
      <c r="AN9" t="inlineStr">
        <is>
          <t>TYPE=BOLT</t>
        </is>
      </c>
      <c r="AQ9" t="inlineStr">
        <is>
          <t>5/8"</t>
        </is>
      </c>
      <c r="AR9" t="n">
        <v>4</v>
      </c>
      <c r="AS9" t="inlineStr">
        <is>
          <t>0</t>
        </is>
      </c>
      <c r="AT9" t="n">
        <v>3.543307</v>
      </c>
      <c r="AU9" t="inlineStr">
        <is>
          <t>Stud Bolt</t>
        </is>
      </c>
      <c r="AV9" t="inlineStr">
        <is>
          <t>Lg, ASTM A193, B7</t>
        </is>
      </c>
      <c r="AW9" t="inlineStr">
        <is>
          <t>ASTM A193</t>
        </is>
      </c>
      <c r="AX9" t="inlineStr">
        <is>
          <t>BoltSet</t>
        </is>
      </c>
    </row>
    <row r="10">
      <c r="B10" t="inlineStr">
        <is>
          <t>80</t>
        </is>
      </c>
      <c r="E10" t="inlineStr">
        <is>
          <t>2a0cc95b-ed63-453a-8a52-6194599f6e32</t>
        </is>
      </c>
      <c r="F10" t="inlineStr">
        <is>
          <t>ALL</t>
        </is>
      </c>
      <c r="G10" t="inlineStr">
        <is>
          <t>80</t>
        </is>
      </c>
      <c r="H10" t="inlineStr">
        <is>
          <t>mm</t>
        </is>
      </c>
      <c r="I10" t="inlineStr">
        <is>
          <t>88.9</t>
        </is>
      </c>
      <c r="M10" t="inlineStr">
        <is>
          <t>RF</t>
        </is>
      </c>
      <c r="O10" t="inlineStr">
        <is>
          <t>150</t>
        </is>
      </c>
      <c r="Q10" t="inlineStr">
        <is>
          <t>0</t>
        </is>
      </c>
      <c r="R10" t="inlineStr">
        <is>
          <t>0</t>
        </is>
      </c>
      <c r="S10" t="inlineStr">
        <is>
          <t>mm</t>
        </is>
      </c>
      <c r="T10" t="inlineStr">
        <is>
          <t>Bolt set</t>
        </is>
      </c>
      <c r="W10" t="inlineStr">
        <is>
          <t>Studbolt ASTM A193-B7-Nuts ASTM A194-2H</t>
        </is>
      </c>
      <c r="X10" t="inlineStr">
        <is>
          <t>Studbolt DN80 ASTM A193-B7-Nuts ASTM A194-2H</t>
        </is>
      </c>
      <c r="Y10" t="inlineStr">
        <is>
          <t>CS</t>
        </is>
      </c>
      <c r="AC10" t="inlineStr">
        <is>
          <t>BOLT</t>
        </is>
      </c>
      <c r="AD10" t="inlineStr">
        <is>
          <t>BOLT</t>
        </is>
      </c>
      <c r="AE10" t="inlineStr">
        <is>
          <t>36894312-7f7b-4dce-9b48-e62ceba5c6f9</t>
        </is>
      </c>
      <c r="AF10" t="inlineStr">
        <is>
          <t>36894312-7f7b-4dce-9b48-e62ceba5c6f9</t>
        </is>
      </c>
      <c r="AK10" t="inlineStr">
        <is>
          <t>1</t>
        </is>
      </c>
      <c r="AM10" t="inlineStr">
        <is>
          <t>Fasteners</t>
        </is>
      </c>
      <c r="AN10" t="inlineStr">
        <is>
          <t>TYPE=BOLT</t>
        </is>
      </c>
      <c r="AQ10" t="inlineStr">
        <is>
          <t>5/8"</t>
        </is>
      </c>
      <c r="AR10" t="n">
        <v>4</v>
      </c>
      <c r="AS10" t="inlineStr">
        <is>
          <t>0</t>
        </is>
      </c>
      <c r="AT10" t="n">
        <v>3.543307</v>
      </c>
      <c r="AU10" t="inlineStr">
        <is>
          <t>Stud Bolt</t>
        </is>
      </c>
      <c r="AV10" t="inlineStr">
        <is>
          <t>Lg, ASTM A193, B7</t>
        </is>
      </c>
      <c r="AW10" t="inlineStr">
        <is>
          <t>ASTM A193</t>
        </is>
      </c>
      <c r="AX10" t="inlineStr">
        <is>
          <t>BoltSet</t>
        </is>
      </c>
    </row>
    <row r="11">
      <c r="B11" t="inlineStr">
        <is>
          <t>90</t>
        </is>
      </c>
      <c r="E11" t="inlineStr">
        <is>
          <t>39d93329-93b2-4ce4-beb2-f9e727cfca9e</t>
        </is>
      </c>
      <c r="F11" t="inlineStr">
        <is>
          <t>ALL</t>
        </is>
      </c>
      <c r="G11" t="inlineStr">
        <is>
          <t>90</t>
        </is>
      </c>
      <c r="H11" t="inlineStr">
        <is>
          <t>mm</t>
        </is>
      </c>
      <c r="I11" t="inlineStr">
        <is>
          <t>90</t>
        </is>
      </c>
      <c r="M11" t="inlineStr">
        <is>
          <t>RF</t>
        </is>
      </c>
      <c r="O11" t="inlineStr">
        <is>
          <t>150</t>
        </is>
      </c>
      <c r="Q11" t="inlineStr">
        <is>
          <t>0</t>
        </is>
      </c>
      <c r="R11" t="inlineStr">
        <is>
          <t>0</t>
        </is>
      </c>
      <c r="S11" t="inlineStr">
        <is>
          <t>mm</t>
        </is>
      </c>
      <c r="T11" t="inlineStr">
        <is>
          <t>Bolt set</t>
        </is>
      </c>
      <c r="W11" t="inlineStr">
        <is>
          <t>Studbolt ASTM A193-B7-Nuts ASTM A194-2H</t>
        </is>
      </c>
      <c r="X11" t="inlineStr">
        <is>
          <t>Studbolt DN90 ASTM A193-B7-Nuts ASTM A194-2H</t>
        </is>
      </c>
      <c r="Y11" t="inlineStr">
        <is>
          <t>CS</t>
        </is>
      </c>
      <c r="AC11" t="inlineStr">
        <is>
          <t>BOLT</t>
        </is>
      </c>
      <c r="AD11" t="inlineStr">
        <is>
          <t>BOLT</t>
        </is>
      </c>
      <c r="AE11" t="inlineStr">
        <is>
          <t>36894312-7f7b-4dce-9b48-e62ceba5c6f9</t>
        </is>
      </c>
      <c r="AF11" t="inlineStr">
        <is>
          <t>36894312-7f7b-4dce-9b48-e62ceba5c6f9</t>
        </is>
      </c>
      <c r="AK11" t="inlineStr">
        <is>
          <t>1</t>
        </is>
      </c>
      <c r="AM11" t="inlineStr">
        <is>
          <t>Fasteners</t>
        </is>
      </c>
      <c r="AN11" t="inlineStr">
        <is>
          <t>TYPE=BOLT</t>
        </is>
      </c>
      <c r="AQ11" t="inlineStr">
        <is>
          <t>5/8"</t>
        </is>
      </c>
      <c r="AR11" t="n">
        <v>8</v>
      </c>
      <c r="AS11" t="inlineStr">
        <is>
          <t>0</t>
        </is>
      </c>
      <c r="AT11" t="n">
        <v>3.543307</v>
      </c>
      <c r="AU11" t="inlineStr">
        <is>
          <t>Stud Bolt</t>
        </is>
      </c>
      <c r="AV11" t="inlineStr">
        <is>
          <t>Lg, ASTM A193, B7</t>
        </is>
      </c>
      <c r="AW11" t="inlineStr">
        <is>
          <t>ASTM A193</t>
        </is>
      </c>
      <c r="AX11" t="inlineStr">
        <is>
          <t>BoltSet</t>
        </is>
      </c>
    </row>
    <row r="12">
      <c r="B12" t="inlineStr">
        <is>
          <t>100</t>
        </is>
      </c>
      <c r="E12" t="inlineStr">
        <is>
          <t>d3409bfc-e356-4d89-a899-fb1cc75c0880</t>
        </is>
      </c>
      <c r="F12" t="inlineStr">
        <is>
          <t>ALL</t>
        </is>
      </c>
      <c r="G12" t="inlineStr">
        <is>
          <t>100</t>
        </is>
      </c>
      <c r="H12" t="inlineStr">
        <is>
          <t>mm</t>
        </is>
      </c>
      <c r="I12" t="inlineStr">
        <is>
          <t>114.3</t>
        </is>
      </c>
      <c r="M12" t="inlineStr">
        <is>
          <t>RF</t>
        </is>
      </c>
      <c r="O12" t="inlineStr">
        <is>
          <t>150</t>
        </is>
      </c>
      <c r="Q12" t="inlineStr">
        <is>
          <t>0</t>
        </is>
      </c>
      <c r="R12" t="inlineStr">
        <is>
          <t>0</t>
        </is>
      </c>
      <c r="S12" t="inlineStr">
        <is>
          <t>mm</t>
        </is>
      </c>
      <c r="T12" t="inlineStr">
        <is>
          <t>Bolt set</t>
        </is>
      </c>
      <c r="W12" t="inlineStr">
        <is>
          <t>Studbolt ASTM A193-B7-Nuts ASTM A194-2H</t>
        </is>
      </c>
      <c r="X12" t="inlineStr">
        <is>
          <t>Studbolt DN100 ASTM A193-B7-Nuts ASTM A194-2H</t>
        </is>
      </c>
      <c r="Y12" t="inlineStr">
        <is>
          <t>CS</t>
        </is>
      </c>
      <c r="AC12" t="inlineStr">
        <is>
          <t>BOLT</t>
        </is>
      </c>
      <c r="AD12" t="inlineStr">
        <is>
          <t>BOLT</t>
        </is>
      </c>
      <c r="AE12" t="inlineStr">
        <is>
          <t>36894312-7f7b-4dce-9b48-e62ceba5c6f9</t>
        </is>
      </c>
      <c r="AF12" t="inlineStr">
        <is>
          <t>36894312-7f7b-4dce-9b48-e62ceba5c6f9</t>
        </is>
      </c>
      <c r="AK12" t="inlineStr">
        <is>
          <t>1</t>
        </is>
      </c>
      <c r="AM12" t="inlineStr">
        <is>
          <t>Fasteners</t>
        </is>
      </c>
      <c r="AN12" t="inlineStr">
        <is>
          <t>TYPE=BOLT</t>
        </is>
      </c>
      <c r="AQ12" t="inlineStr">
        <is>
          <t>5/8"</t>
        </is>
      </c>
      <c r="AR12" t="n">
        <v>8</v>
      </c>
      <c r="AS12" t="inlineStr">
        <is>
          <t>0</t>
        </is>
      </c>
      <c r="AT12" t="n">
        <v>3.543307</v>
      </c>
      <c r="AU12" t="inlineStr">
        <is>
          <t>Stud Bolt</t>
        </is>
      </c>
      <c r="AV12" t="inlineStr">
        <is>
          <t>Lg, ASTM A193, B7</t>
        </is>
      </c>
      <c r="AW12" t="inlineStr">
        <is>
          <t>ASTM A193</t>
        </is>
      </c>
      <c r="AX12" t="inlineStr">
        <is>
          <t>BoltSet</t>
        </is>
      </c>
    </row>
    <row r="13">
      <c r="B13" t="inlineStr">
        <is>
          <t>125</t>
        </is>
      </c>
      <c r="E13" t="inlineStr">
        <is>
          <t>9265de38-8e20-44b9-87f1-abe93bf12c85</t>
        </is>
      </c>
      <c r="F13" t="inlineStr">
        <is>
          <t>ALL</t>
        </is>
      </c>
      <c r="G13" t="inlineStr">
        <is>
          <t>125</t>
        </is>
      </c>
      <c r="H13" t="inlineStr">
        <is>
          <t>mm</t>
        </is>
      </c>
      <c r="I13" t="inlineStr">
        <is>
          <t>125</t>
        </is>
      </c>
      <c r="M13" t="inlineStr">
        <is>
          <t>RF</t>
        </is>
      </c>
      <c r="O13" t="inlineStr">
        <is>
          <t>150</t>
        </is>
      </c>
      <c r="Q13" t="inlineStr">
        <is>
          <t>0</t>
        </is>
      </c>
      <c r="R13" t="inlineStr">
        <is>
          <t>0</t>
        </is>
      </c>
      <c r="S13" t="inlineStr">
        <is>
          <t>mm</t>
        </is>
      </c>
      <c r="T13" t="inlineStr">
        <is>
          <t>Bolt set</t>
        </is>
      </c>
      <c r="W13" t="inlineStr">
        <is>
          <t>Studbolt ASTM A193-B7-Nuts ASTM A194-2H</t>
        </is>
      </c>
      <c r="X13" t="inlineStr">
        <is>
          <t>Studbolt DN125 ASTM A193-B7-Nuts ASTM A194-2H</t>
        </is>
      </c>
      <c r="Y13" t="inlineStr">
        <is>
          <t>CS</t>
        </is>
      </c>
      <c r="AC13" t="inlineStr">
        <is>
          <t>BOLT</t>
        </is>
      </c>
      <c r="AD13" t="inlineStr">
        <is>
          <t>BOLT</t>
        </is>
      </c>
      <c r="AE13" t="inlineStr">
        <is>
          <t>36894312-7f7b-4dce-9b48-e62ceba5c6f9</t>
        </is>
      </c>
      <c r="AF13" t="inlineStr">
        <is>
          <t>36894312-7f7b-4dce-9b48-e62ceba5c6f9</t>
        </is>
      </c>
      <c r="AK13" t="inlineStr">
        <is>
          <t>1</t>
        </is>
      </c>
      <c r="AM13" t="inlineStr">
        <is>
          <t>Fasteners</t>
        </is>
      </c>
      <c r="AN13" t="inlineStr">
        <is>
          <t>TYPE=BOLT</t>
        </is>
      </c>
      <c r="AQ13" t="inlineStr">
        <is>
          <t>5/8"</t>
        </is>
      </c>
      <c r="AR13" t="n">
        <v>8</v>
      </c>
      <c r="AS13" t="inlineStr">
        <is>
          <t>0</t>
        </is>
      </c>
      <c r="AT13" t="n">
        <v>3.740157</v>
      </c>
      <c r="AU13" t="inlineStr">
        <is>
          <t>Stud Bolt</t>
        </is>
      </c>
      <c r="AV13" t="inlineStr">
        <is>
          <t>Lg, ASTM A193, B7</t>
        </is>
      </c>
      <c r="AW13" t="inlineStr">
        <is>
          <t>ASTM A193</t>
        </is>
      </c>
      <c r="AX13" t="inlineStr">
        <is>
          <t>BoltSet</t>
        </is>
      </c>
    </row>
    <row r="14">
      <c r="B14" t="inlineStr">
        <is>
          <t>150</t>
        </is>
      </c>
      <c r="E14" t="inlineStr">
        <is>
          <t>b62ee921-e8f2-432e-9583-d2036de22ab4</t>
        </is>
      </c>
      <c r="F14" t="inlineStr">
        <is>
          <t>ALL</t>
        </is>
      </c>
      <c r="G14" t="inlineStr">
        <is>
          <t>150</t>
        </is>
      </c>
      <c r="H14" t="inlineStr">
        <is>
          <t>mm</t>
        </is>
      </c>
      <c r="I14" t="inlineStr">
        <is>
          <t>168.3</t>
        </is>
      </c>
      <c r="M14" t="inlineStr">
        <is>
          <t>RF</t>
        </is>
      </c>
      <c r="O14" t="inlineStr">
        <is>
          <t>150</t>
        </is>
      </c>
      <c r="Q14" t="inlineStr">
        <is>
          <t>0</t>
        </is>
      </c>
      <c r="R14" t="inlineStr">
        <is>
          <t>0</t>
        </is>
      </c>
      <c r="S14" t="inlineStr">
        <is>
          <t>mm</t>
        </is>
      </c>
      <c r="T14" t="inlineStr">
        <is>
          <t>Bolt set</t>
        </is>
      </c>
      <c r="W14" t="inlineStr">
        <is>
          <t>Studbolt ASTM A193-B7-Nuts ASTM A194-2H</t>
        </is>
      </c>
      <c r="X14" t="inlineStr">
        <is>
          <t>Studbolt DN150 ASTM A193-B7-Nuts ASTM A194-2H</t>
        </is>
      </c>
      <c r="Y14" t="inlineStr">
        <is>
          <t>CS</t>
        </is>
      </c>
      <c r="AC14" t="inlineStr">
        <is>
          <t>BOLT</t>
        </is>
      </c>
      <c r="AD14" t="inlineStr">
        <is>
          <t>BOLT</t>
        </is>
      </c>
      <c r="AE14" t="inlineStr">
        <is>
          <t>36894312-7f7b-4dce-9b48-e62ceba5c6f9</t>
        </is>
      </c>
      <c r="AF14" t="inlineStr">
        <is>
          <t>36894312-7f7b-4dce-9b48-e62ceba5c6f9</t>
        </is>
      </c>
      <c r="AK14" t="inlineStr">
        <is>
          <t>1</t>
        </is>
      </c>
      <c r="AM14" t="inlineStr">
        <is>
          <t>Fasteners</t>
        </is>
      </c>
      <c r="AN14" t="inlineStr">
        <is>
          <t>TYPE=BOLT</t>
        </is>
      </c>
      <c r="AQ14" t="inlineStr">
        <is>
          <t>3/4"</t>
        </is>
      </c>
      <c r="AR14" t="n">
        <v>8</v>
      </c>
      <c r="AS14" t="inlineStr">
        <is>
          <t>0</t>
        </is>
      </c>
      <c r="AT14" t="n">
        <v>3.937008</v>
      </c>
      <c r="AU14" t="inlineStr">
        <is>
          <t>Stud Bolt</t>
        </is>
      </c>
      <c r="AV14" t="inlineStr">
        <is>
          <t>Lg, ASTM A193, B7</t>
        </is>
      </c>
      <c r="AW14" t="inlineStr">
        <is>
          <t>ASTM A193</t>
        </is>
      </c>
      <c r="AX14" t="inlineStr">
        <is>
          <t>BoltSet</t>
        </is>
      </c>
    </row>
    <row r="15">
      <c r="B15" t="inlineStr">
        <is>
          <t>200</t>
        </is>
      </c>
      <c r="E15" t="inlineStr">
        <is>
          <t>b4e8641e-38f2-4e30-9bb9-217303b0425d</t>
        </is>
      </c>
      <c r="F15" t="inlineStr">
        <is>
          <t>ALL</t>
        </is>
      </c>
      <c r="G15" t="inlineStr">
        <is>
          <t>200</t>
        </is>
      </c>
      <c r="H15" t="inlineStr">
        <is>
          <t>mm</t>
        </is>
      </c>
      <c r="I15" t="inlineStr">
        <is>
          <t>219.1</t>
        </is>
      </c>
      <c r="M15" t="inlineStr">
        <is>
          <t>RF</t>
        </is>
      </c>
      <c r="O15" t="inlineStr">
        <is>
          <t>150</t>
        </is>
      </c>
      <c r="Q15" t="inlineStr">
        <is>
          <t>0</t>
        </is>
      </c>
      <c r="R15" t="inlineStr">
        <is>
          <t>0</t>
        </is>
      </c>
      <c r="S15" t="inlineStr">
        <is>
          <t>mm</t>
        </is>
      </c>
      <c r="T15" t="inlineStr">
        <is>
          <t>Bolt set</t>
        </is>
      </c>
      <c r="W15" t="inlineStr">
        <is>
          <t>Studbolt ASTM A193-B7-Nuts ASTM A194-2H</t>
        </is>
      </c>
      <c r="X15" t="inlineStr">
        <is>
          <t>Studbolt DN200 ASTM A193-B7-Nuts ASTM A194-2H</t>
        </is>
      </c>
      <c r="Y15" t="inlineStr">
        <is>
          <t>CS</t>
        </is>
      </c>
      <c r="AC15" t="inlineStr">
        <is>
          <t>BOLT</t>
        </is>
      </c>
      <c r="AD15" t="inlineStr">
        <is>
          <t>BOLT</t>
        </is>
      </c>
      <c r="AE15" t="inlineStr">
        <is>
          <t>36894312-7f7b-4dce-9b48-e62ceba5c6f9</t>
        </is>
      </c>
      <c r="AF15" t="inlineStr">
        <is>
          <t>36894312-7f7b-4dce-9b48-e62ceba5c6f9</t>
        </is>
      </c>
      <c r="AK15" t="inlineStr">
        <is>
          <t>1</t>
        </is>
      </c>
      <c r="AM15" t="inlineStr">
        <is>
          <t>Fasteners</t>
        </is>
      </c>
      <c r="AN15" t="inlineStr">
        <is>
          <t>TYPE=BOLT</t>
        </is>
      </c>
      <c r="AQ15" t="inlineStr">
        <is>
          <t>3/4"</t>
        </is>
      </c>
      <c r="AR15" t="n">
        <v>8</v>
      </c>
      <c r="AS15" t="inlineStr">
        <is>
          <t>0</t>
        </is>
      </c>
      <c r="AT15" t="n">
        <v>4.330709</v>
      </c>
      <c r="AU15" t="inlineStr">
        <is>
          <t>Stud Bolt</t>
        </is>
      </c>
      <c r="AV15" t="inlineStr">
        <is>
          <t>Lg, ASTM A193, B7</t>
        </is>
      </c>
      <c r="AW15" t="inlineStr">
        <is>
          <t>ASTM A193</t>
        </is>
      </c>
      <c r="AX15" t="inlineStr">
        <is>
          <t>BoltSet</t>
        </is>
      </c>
    </row>
    <row r="16">
      <c r="B16" t="inlineStr">
        <is>
          <t>250</t>
        </is>
      </c>
      <c r="E16" t="inlineStr">
        <is>
          <t>7b4e9f40-a399-4376-9684-1ac3db18c60c</t>
        </is>
      </c>
      <c r="F16" t="inlineStr">
        <is>
          <t>ALL</t>
        </is>
      </c>
      <c r="G16" t="inlineStr">
        <is>
          <t>250</t>
        </is>
      </c>
      <c r="H16" t="inlineStr">
        <is>
          <t>mm</t>
        </is>
      </c>
      <c r="I16" t="inlineStr">
        <is>
          <t>273.1</t>
        </is>
      </c>
      <c r="M16" t="inlineStr">
        <is>
          <t>RF</t>
        </is>
      </c>
      <c r="O16" t="inlineStr">
        <is>
          <t>150</t>
        </is>
      </c>
      <c r="Q16" t="inlineStr">
        <is>
          <t>0</t>
        </is>
      </c>
      <c r="R16" t="inlineStr">
        <is>
          <t>0</t>
        </is>
      </c>
      <c r="S16" t="inlineStr">
        <is>
          <t>mm</t>
        </is>
      </c>
      <c r="T16" t="inlineStr">
        <is>
          <t>Bolt set</t>
        </is>
      </c>
      <c r="W16" t="inlineStr">
        <is>
          <t>Studbolt ASTM A193-B7-Nuts ASTM A194-2H</t>
        </is>
      </c>
      <c r="X16" t="inlineStr">
        <is>
          <t>Studbolt DN250 ASTM A193-B7-Nuts ASTM A194-2H</t>
        </is>
      </c>
      <c r="Y16" t="inlineStr">
        <is>
          <t>CS</t>
        </is>
      </c>
      <c r="AC16" t="inlineStr">
        <is>
          <t>BOLT</t>
        </is>
      </c>
      <c r="AD16" t="inlineStr">
        <is>
          <t>BOLT</t>
        </is>
      </c>
      <c r="AE16" t="inlineStr">
        <is>
          <t>36894312-7f7b-4dce-9b48-e62ceba5c6f9</t>
        </is>
      </c>
      <c r="AF16" t="inlineStr">
        <is>
          <t>36894312-7f7b-4dce-9b48-e62ceba5c6f9</t>
        </is>
      </c>
      <c r="AK16" t="inlineStr">
        <is>
          <t>1</t>
        </is>
      </c>
      <c r="AM16" t="inlineStr">
        <is>
          <t>Fasteners</t>
        </is>
      </c>
      <c r="AN16" t="inlineStr">
        <is>
          <t>TYPE=BOLT</t>
        </is>
      </c>
      <c r="AQ16" t="inlineStr">
        <is>
          <t>7/8"</t>
        </is>
      </c>
      <c r="AR16" t="n">
        <v>12</v>
      </c>
      <c r="AS16" t="inlineStr">
        <is>
          <t>0</t>
        </is>
      </c>
      <c r="AT16" t="n">
        <v>4.527559</v>
      </c>
      <c r="AU16" t="inlineStr">
        <is>
          <t>Stud Bolt</t>
        </is>
      </c>
      <c r="AV16" t="inlineStr">
        <is>
          <t>Lg, ASTM A193, B7</t>
        </is>
      </c>
      <c r="AW16" t="inlineStr">
        <is>
          <t>ASTM A193</t>
        </is>
      </c>
      <c r="AX16" t="inlineStr">
        <is>
          <t>BoltSet</t>
        </is>
      </c>
    </row>
    <row r="17">
      <c r="B17" t="inlineStr">
        <is>
          <t>300</t>
        </is>
      </c>
      <c r="E17" t="inlineStr">
        <is>
          <t>e999a844-488d-4256-b68e-922598cc0584</t>
        </is>
      </c>
      <c r="F17" t="inlineStr">
        <is>
          <t>ALL</t>
        </is>
      </c>
      <c r="G17" t="inlineStr">
        <is>
          <t>300</t>
        </is>
      </c>
      <c r="H17" t="inlineStr">
        <is>
          <t>mm</t>
        </is>
      </c>
      <c r="I17" t="inlineStr">
        <is>
          <t>323.9</t>
        </is>
      </c>
      <c r="M17" t="inlineStr">
        <is>
          <t>RF</t>
        </is>
      </c>
      <c r="O17" t="inlineStr">
        <is>
          <t>150</t>
        </is>
      </c>
      <c r="Q17" t="inlineStr">
        <is>
          <t>0</t>
        </is>
      </c>
      <c r="R17" t="inlineStr">
        <is>
          <t>0</t>
        </is>
      </c>
      <c r="S17" t="inlineStr">
        <is>
          <t>mm</t>
        </is>
      </c>
      <c r="T17" t="inlineStr">
        <is>
          <t>Bolt set</t>
        </is>
      </c>
      <c r="W17" t="inlineStr">
        <is>
          <t>Studbolt ASTM A193-B7-Nuts ASTM A194-2H</t>
        </is>
      </c>
      <c r="X17" t="inlineStr">
        <is>
          <t>Studbolt DN300 ASTM A193-B7-Nuts ASTM A194-2H</t>
        </is>
      </c>
      <c r="Y17" t="inlineStr">
        <is>
          <t>CS</t>
        </is>
      </c>
      <c r="AC17" t="inlineStr">
        <is>
          <t>BOLT</t>
        </is>
      </c>
      <c r="AD17" t="inlineStr">
        <is>
          <t>BOLT</t>
        </is>
      </c>
      <c r="AE17" t="inlineStr">
        <is>
          <t>36894312-7f7b-4dce-9b48-e62ceba5c6f9</t>
        </is>
      </c>
      <c r="AF17" t="inlineStr">
        <is>
          <t>36894312-7f7b-4dce-9b48-e62ceba5c6f9</t>
        </is>
      </c>
      <c r="AK17" t="inlineStr">
        <is>
          <t>1</t>
        </is>
      </c>
      <c r="AM17" t="inlineStr">
        <is>
          <t>Fasteners</t>
        </is>
      </c>
      <c r="AN17" t="inlineStr">
        <is>
          <t>TYPE=BOLT</t>
        </is>
      </c>
      <c r="AQ17" t="inlineStr">
        <is>
          <t>7/8"</t>
        </is>
      </c>
      <c r="AR17" t="n">
        <v>12</v>
      </c>
      <c r="AS17" t="inlineStr">
        <is>
          <t>0</t>
        </is>
      </c>
      <c r="AT17" t="n">
        <v>4.724409</v>
      </c>
      <c r="AU17" t="inlineStr">
        <is>
          <t>Stud Bolt</t>
        </is>
      </c>
      <c r="AV17" t="inlineStr">
        <is>
          <t>Lg, ASTM A193, B7</t>
        </is>
      </c>
      <c r="AW17" t="inlineStr">
        <is>
          <t>ASTM A193</t>
        </is>
      </c>
      <c r="AX17" t="inlineStr">
        <is>
          <t>BoltSet</t>
        </is>
      </c>
    </row>
    <row r="18">
      <c r="B18" t="inlineStr">
        <is>
          <t>350</t>
        </is>
      </c>
      <c r="E18" t="inlineStr">
        <is>
          <t>ff8ce477-99e5-46f4-8e97-3423de49cbed</t>
        </is>
      </c>
      <c r="F18" t="inlineStr">
        <is>
          <t>ALL</t>
        </is>
      </c>
      <c r="G18" t="inlineStr">
        <is>
          <t>350</t>
        </is>
      </c>
      <c r="H18" t="inlineStr">
        <is>
          <t>mm</t>
        </is>
      </c>
      <c r="I18" t="inlineStr">
        <is>
          <t>355.6</t>
        </is>
      </c>
      <c r="M18" t="inlineStr">
        <is>
          <t>RF</t>
        </is>
      </c>
      <c r="O18" t="inlineStr">
        <is>
          <t>150</t>
        </is>
      </c>
      <c r="Q18" t="inlineStr">
        <is>
          <t>0</t>
        </is>
      </c>
      <c r="R18" t="inlineStr">
        <is>
          <t>0</t>
        </is>
      </c>
      <c r="S18" t="inlineStr">
        <is>
          <t>mm</t>
        </is>
      </c>
      <c r="T18" t="inlineStr">
        <is>
          <t>Bolt set</t>
        </is>
      </c>
      <c r="W18" t="inlineStr">
        <is>
          <t>Studbolt ASTM A193-B7-Nuts ASTM A194-2H</t>
        </is>
      </c>
      <c r="X18" t="inlineStr">
        <is>
          <t>Studbolt DN350 ASTM A193-B7-Nuts ASTM A194-2H</t>
        </is>
      </c>
      <c r="Y18" t="inlineStr">
        <is>
          <t>CS</t>
        </is>
      </c>
      <c r="AC18" t="inlineStr">
        <is>
          <t>BOLT</t>
        </is>
      </c>
      <c r="AD18" t="inlineStr">
        <is>
          <t>BOLT</t>
        </is>
      </c>
      <c r="AE18" t="inlineStr">
        <is>
          <t>36894312-7f7b-4dce-9b48-e62ceba5c6f9</t>
        </is>
      </c>
      <c r="AF18" t="inlineStr">
        <is>
          <t>36894312-7f7b-4dce-9b48-e62ceba5c6f9</t>
        </is>
      </c>
      <c r="AK18" t="inlineStr">
        <is>
          <t>1</t>
        </is>
      </c>
      <c r="AM18" t="inlineStr">
        <is>
          <t>Fasteners</t>
        </is>
      </c>
      <c r="AN18" t="inlineStr">
        <is>
          <t>TYPE=BOLT</t>
        </is>
      </c>
      <c r="AQ18" t="inlineStr">
        <is>
          <t>1"</t>
        </is>
      </c>
      <c r="AR18" t="n">
        <v>12</v>
      </c>
      <c r="AS18" t="inlineStr">
        <is>
          <t>0</t>
        </is>
      </c>
      <c r="AT18" t="n">
        <v>5.314961</v>
      </c>
      <c r="AU18" t="inlineStr">
        <is>
          <t>Stud Bolt</t>
        </is>
      </c>
      <c r="AV18" t="inlineStr">
        <is>
          <t>Lg, ASTM A193, B7</t>
        </is>
      </c>
      <c r="AW18" t="inlineStr">
        <is>
          <t>ASTM A193</t>
        </is>
      </c>
      <c r="AX18" t="inlineStr">
        <is>
          <t>BoltSet</t>
        </is>
      </c>
    </row>
    <row r="19">
      <c r="B19" t="inlineStr">
        <is>
          <t>400</t>
        </is>
      </c>
      <c r="E19" t="inlineStr">
        <is>
          <t>b3c55ce0-e223-4bcc-a37f-333936ee6546</t>
        </is>
      </c>
      <c r="F19" t="inlineStr">
        <is>
          <t>ALL</t>
        </is>
      </c>
      <c r="G19" t="inlineStr">
        <is>
          <t>400</t>
        </is>
      </c>
      <c r="H19" t="inlineStr">
        <is>
          <t>mm</t>
        </is>
      </c>
      <c r="I19" t="inlineStr">
        <is>
          <t>406.4</t>
        </is>
      </c>
      <c r="M19" t="inlineStr">
        <is>
          <t>RF</t>
        </is>
      </c>
      <c r="O19" t="inlineStr">
        <is>
          <t>150</t>
        </is>
      </c>
      <c r="Q19" t="inlineStr">
        <is>
          <t>0</t>
        </is>
      </c>
      <c r="R19" t="inlineStr">
        <is>
          <t>0</t>
        </is>
      </c>
      <c r="S19" t="inlineStr">
        <is>
          <t>mm</t>
        </is>
      </c>
      <c r="T19" t="inlineStr">
        <is>
          <t>Bolt set</t>
        </is>
      </c>
      <c r="W19" t="inlineStr">
        <is>
          <t>Studbolt ASTM A193-B7-Nuts ASTM A194-2H</t>
        </is>
      </c>
      <c r="X19" t="inlineStr">
        <is>
          <t>Studbolt DN400 ASTM A193-B7-Nuts ASTM A194-2H</t>
        </is>
      </c>
      <c r="Y19" t="inlineStr">
        <is>
          <t>CS</t>
        </is>
      </c>
      <c r="AC19" t="inlineStr">
        <is>
          <t>BOLT</t>
        </is>
      </c>
      <c r="AD19" t="inlineStr">
        <is>
          <t>BOLT</t>
        </is>
      </c>
      <c r="AE19" t="inlineStr">
        <is>
          <t>36894312-7f7b-4dce-9b48-e62ceba5c6f9</t>
        </is>
      </c>
      <c r="AF19" t="inlineStr">
        <is>
          <t>36894312-7f7b-4dce-9b48-e62ceba5c6f9</t>
        </is>
      </c>
      <c r="AK19" t="inlineStr">
        <is>
          <t>1</t>
        </is>
      </c>
      <c r="AM19" t="inlineStr">
        <is>
          <t>Fasteners</t>
        </is>
      </c>
      <c r="AN19" t="inlineStr">
        <is>
          <t>TYPE=BOLT</t>
        </is>
      </c>
      <c r="AQ19" t="inlineStr">
        <is>
          <t>1"</t>
        </is>
      </c>
      <c r="AR19" t="n">
        <v>16</v>
      </c>
      <c r="AS19" t="inlineStr">
        <is>
          <t>0</t>
        </is>
      </c>
      <c r="AT19" t="n">
        <v>5.314961</v>
      </c>
      <c r="AU19" t="inlineStr">
        <is>
          <t>Stud Bolt</t>
        </is>
      </c>
      <c r="AV19" t="inlineStr">
        <is>
          <t>Lg, ASTM A193, B7</t>
        </is>
      </c>
      <c r="AW19" t="inlineStr">
        <is>
          <t>ASTM A193</t>
        </is>
      </c>
      <c r="AX19" t="inlineStr">
        <is>
          <t>BoltSet</t>
        </is>
      </c>
    </row>
    <row r="20">
      <c r="B20" t="inlineStr">
        <is>
          <t>450</t>
        </is>
      </c>
      <c r="E20" t="inlineStr">
        <is>
          <t>14d1994f-2b15-45b5-951b-98a8c6e240d1</t>
        </is>
      </c>
      <c r="F20" t="inlineStr">
        <is>
          <t>ALL</t>
        </is>
      </c>
      <c r="G20" t="inlineStr">
        <is>
          <t>450</t>
        </is>
      </c>
      <c r="H20" t="inlineStr">
        <is>
          <t>mm</t>
        </is>
      </c>
      <c r="I20" t="inlineStr">
        <is>
          <t>457.2</t>
        </is>
      </c>
      <c r="M20" t="inlineStr">
        <is>
          <t>RF</t>
        </is>
      </c>
      <c r="O20" t="inlineStr">
        <is>
          <t>150</t>
        </is>
      </c>
      <c r="Q20" t="inlineStr">
        <is>
          <t>0</t>
        </is>
      </c>
      <c r="R20" t="inlineStr">
        <is>
          <t>0</t>
        </is>
      </c>
      <c r="S20" t="inlineStr">
        <is>
          <t>mm</t>
        </is>
      </c>
      <c r="T20" t="inlineStr">
        <is>
          <t>Bolt set</t>
        </is>
      </c>
      <c r="W20" t="inlineStr">
        <is>
          <t>Studbolt ASTM A193-B7-Nuts ASTM A194-2H</t>
        </is>
      </c>
      <c r="X20" t="inlineStr">
        <is>
          <t>Studbolt DN450 ASTM A193-B7-Nuts ASTM A194-2H</t>
        </is>
      </c>
      <c r="Y20" t="inlineStr">
        <is>
          <t>CS</t>
        </is>
      </c>
      <c r="AC20" t="inlineStr">
        <is>
          <t>BOLT</t>
        </is>
      </c>
      <c r="AD20" t="inlineStr">
        <is>
          <t>BOLT</t>
        </is>
      </c>
      <c r="AE20" t="inlineStr">
        <is>
          <t>36894312-7f7b-4dce-9b48-e62ceba5c6f9</t>
        </is>
      </c>
      <c r="AF20" t="inlineStr">
        <is>
          <t>36894312-7f7b-4dce-9b48-e62ceba5c6f9</t>
        </is>
      </c>
      <c r="AK20" t="inlineStr">
        <is>
          <t>1</t>
        </is>
      </c>
      <c r="AM20" t="inlineStr">
        <is>
          <t>Fasteners</t>
        </is>
      </c>
      <c r="AN20" t="inlineStr">
        <is>
          <t>TYPE=BOLT</t>
        </is>
      </c>
      <c r="AQ20" t="inlineStr">
        <is>
          <t>1-1/8"</t>
        </is>
      </c>
      <c r="AR20" t="n">
        <v>16</v>
      </c>
      <c r="AS20" t="inlineStr">
        <is>
          <t>0</t>
        </is>
      </c>
      <c r="AT20" t="n">
        <v>5.708661</v>
      </c>
      <c r="AU20" t="inlineStr">
        <is>
          <t>Stud Bolt</t>
        </is>
      </c>
      <c r="AV20" t="inlineStr">
        <is>
          <t>Lg, ASTM A193, B7</t>
        </is>
      </c>
      <c r="AW20" t="inlineStr">
        <is>
          <t>ASTM A193</t>
        </is>
      </c>
      <c r="AX20" t="inlineStr">
        <is>
          <t>BoltSet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L5"/>
  <sheetViews>
    <sheetView topLeftCell="R2" workbookViewId="0">
      <selection activeCell="Z4" sqref="Z4"/>
    </sheetView>
  </sheetViews>
  <sheetFormatPr baseColWidth="8" defaultColWidth="9.139196" defaultRowHeight="15"/>
  <cols>
    <col width="9.140625" customWidth="1" style="1" min="1" max="1"/>
    <col width="5.425781" bestFit="1" customWidth="1" style="1" min="2" max="2"/>
    <col width="27.140625" bestFit="1" customWidth="1" style="1" min="3" max="3"/>
    <col width="115.285156" bestFit="1" customWidth="1" style="1" min="4" max="4"/>
    <col width="3.710938" bestFit="1" customWidth="1" style="1" min="5" max="5"/>
    <col width="32.425781" bestFit="1" customWidth="1" min="6" max="6"/>
    <col width="37.570312" bestFit="1" customWidth="1" min="7" max="7"/>
    <col width="15.855469" bestFit="1" customWidth="1" style="1" min="8" max="8"/>
    <col width="23" bestFit="1" customWidth="1" style="1" min="9" max="9"/>
    <col width="18.425781" bestFit="1" customWidth="1" style="1" min="10" max="10"/>
    <col width="22" bestFit="1" customWidth="1" style="1" min="11" max="11"/>
    <col width="14.425781" bestFit="1" customWidth="1" style="1" min="12" max="12"/>
    <col width="15.570312" bestFit="1" customWidth="1" style="1" min="13" max="13"/>
    <col width="15.855469" bestFit="1" customWidth="1" style="1" min="14" max="14"/>
    <col width="12.285156" bestFit="1" customWidth="1" style="1" min="15" max="15"/>
    <col width="21.570312" bestFit="1" customWidth="1" style="1" min="16" max="16"/>
    <col width="19.140625" bestFit="1" customWidth="1" style="1" min="17" max="17"/>
    <col width="15" bestFit="1" customWidth="1" style="1" min="18" max="18"/>
    <col width="19.710938" bestFit="1" customWidth="1" style="1" min="19" max="19"/>
    <col width="24.140625" bestFit="1" customWidth="1" style="1" min="20" max="20"/>
    <col width="16.710938" bestFit="1" customWidth="1" style="1" min="21" max="21"/>
    <col width="21.570312" bestFit="1" customWidth="1" style="1" min="22" max="22"/>
    <col width="19.425781" bestFit="1" customWidth="1" style="1" min="23" max="23"/>
    <col width="9.855468999999999" bestFit="1" customWidth="1" style="1" min="24" max="24"/>
    <col width="56.710938" bestFit="1" customWidth="1" style="1" min="25" max="25"/>
    <col width="62" bestFit="1" customWidth="1" style="1" min="26" max="26"/>
    <col width="8.570311999999999" bestFit="1" customWidth="1" style="1" min="27" max="27"/>
    <col width="13.285156" bestFit="1" customWidth="1" style="1" min="28" max="28"/>
    <col width="7.570312" bestFit="1" customWidth="1" style="1" min="29" max="29"/>
    <col width="11.425781" bestFit="1" customWidth="1" style="1" min="30" max="30"/>
    <col width="5.285156" bestFit="1" customWidth="1" style="1" min="31" max="32"/>
    <col width="37.140625" bestFit="1" customWidth="1" min="33" max="33"/>
    <col width="19" bestFit="1" customWidth="1" min="34" max="34"/>
    <col width="10" bestFit="1" customWidth="1" min="35" max="35"/>
    <col width="13.285156" bestFit="1" customWidth="1" style="1" min="36" max="36"/>
    <col width="9.710938000000001" bestFit="1" customWidth="1" style="1" min="37" max="37"/>
    <col width="20.425781" bestFit="1" customWidth="1" style="1" min="38" max="38"/>
    <col width="20.425781" bestFit="1" customWidth="1" min="39" max="39"/>
    <col width="22.425781" bestFit="1" customWidth="1" style="1" min="40" max="40"/>
    <col width="12.425781" bestFit="1" customWidth="1" min="41" max="41"/>
    <col width="26.855469" bestFit="1" customWidth="1" min="42" max="42"/>
    <col width="11.425781" bestFit="1" customWidth="1" min="43" max="43"/>
    <col width="6.425781" bestFit="1" customWidth="1" style="1" min="44" max="44"/>
    <col width="10.140625" bestFit="1" customWidth="1" style="1" min="45" max="45"/>
    <col width="12" bestFit="1" customWidth="1" style="1" min="46" max="46"/>
    <col width="14.285156" bestFit="1" customWidth="1" style="1" min="47" max="47"/>
    <col width="14.285156" bestFit="1" customWidth="1" min="48" max="48"/>
    <col width="22.710938" bestFit="1" customWidth="1" min="49" max="49"/>
    <col width="9.140625" customWidth="1" min="50" max="65"/>
  </cols>
  <sheetData>
    <row r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DN</t>
        </is>
      </c>
      <c r="F1" t="inlineStr">
        <is>
          <t>ContentGeometryParamDefinition</t>
        </is>
      </c>
      <c r="G1" t="inlineStr">
        <is>
          <t>SizeRecordId_S1</t>
        </is>
      </c>
      <c r="H1" s="77" t="inlineStr">
        <is>
          <t>PortName_S1</t>
        </is>
      </c>
      <c r="I1" s="1" t="inlineStr">
        <is>
          <t>NominalDiameter_S1</t>
        </is>
      </c>
      <c r="J1" s="1" t="inlineStr">
        <is>
          <t>NominalUnit_S1</t>
        </is>
      </c>
      <c r="K1" s="1" t="inlineStr">
        <is>
          <t>MatchingPipeOd_S1</t>
        </is>
      </c>
      <c r="L1" s="1" t="inlineStr">
        <is>
          <t>EndType_S1</t>
        </is>
      </c>
      <c r="M1" s="1" t="inlineStr">
        <is>
          <t>FlangeStd_S1</t>
        </is>
      </c>
      <c r="N1" s="1" t="inlineStr">
        <is>
          <t>GasketStd_S1</t>
        </is>
      </c>
      <c r="O1" s="1" t="inlineStr">
        <is>
          <t>Facing_S1</t>
        </is>
      </c>
      <c r="P1" s="1" t="inlineStr">
        <is>
          <t>FlangeThickness_S1</t>
        </is>
      </c>
      <c r="Q1" s="1" t="inlineStr">
        <is>
          <t>PressureClass_S1</t>
        </is>
      </c>
      <c r="R1" s="1" t="inlineStr">
        <is>
          <t>Schedule_S1</t>
        </is>
      </c>
      <c r="S1" s="1" t="inlineStr">
        <is>
          <t>WallThickness_S1</t>
        </is>
      </c>
      <c r="T1" s="1" t="inlineStr">
        <is>
          <t>EngagementLength_S1</t>
        </is>
      </c>
      <c r="U1" s="1" t="inlineStr">
        <is>
          <t>LengthUnit_S1</t>
        </is>
      </c>
      <c r="V1" t="inlineStr">
        <is>
          <t>SizeRecordId_S2</t>
        </is>
      </c>
      <c r="W1" t="inlineStr">
        <is>
          <t>PortName_S2</t>
        </is>
      </c>
      <c r="X1" t="inlineStr">
        <is>
          <t>NominalDiameter_S2</t>
        </is>
      </c>
      <c r="Y1" t="inlineStr">
        <is>
          <t>NominalUnit_S2</t>
        </is>
      </c>
      <c r="Z1" t="inlineStr">
        <is>
          <t>MatchingPipeOd_S2</t>
        </is>
      </c>
      <c r="AA1" t="inlineStr">
        <is>
          <t>EndType_S2</t>
        </is>
      </c>
      <c r="AB1" t="inlineStr">
        <is>
          <t>FlangeStd_S2</t>
        </is>
      </c>
      <c r="AC1" t="inlineStr">
        <is>
          <t>GasketStd_S2</t>
        </is>
      </c>
      <c r="AD1" t="inlineStr">
        <is>
          <t>Facing_S2</t>
        </is>
      </c>
      <c r="AE1" t="inlineStr">
        <is>
          <t>FlangeThickness_S2</t>
        </is>
      </c>
      <c r="AF1" t="inlineStr">
        <is>
          <t>PressureClass_S2</t>
        </is>
      </c>
      <c r="AG1" t="inlineStr">
        <is>
          <t>Schedule_S2</t>
        </is>
      </c>
      <c r="AH1" t="inlineStr">
        <is>
          <t>WallThickness_S2</t>
        </is>
      </c>
      <c r="AI1" t="inlineStr">
        <is>
          <t>EngagementLength_S2</t>
        </is>
      </c>
      <c r="AJ1" t="inlineStr">
        <is>
          <t>LengthUnit_S2</t>
        </is>
      </c>
      <c r="AK1" s="1" t="inlineStr">
        <is>
          <t>ShortDescription</t>
        </is>
      </c>
      <c r="AL1" s="1" t="inlineStr">
        <is>
          <t>CompatibleStandard</t>
        </is>
      </c>
      <c r="AM1" s="1" t="inlineStr">
        <is>
          <t>DesignStd</t>
        </is>
      </c>
      <c r="AN1" s="1" t="inlineStr">
        <is>
          <t>PartFamilyLongDesc</t>
        </is>
      </c>
      <c r="AO1" s="1" t="inlineStr">
        <is>
          <t>PartSizeLongDesc</t>
        </is>
      </c>
      <c r="AP1" s="1" t="inlineStr">
        <is>
          <t>Material</t>
        </is>
      </c>
      <c r="AQ1" s="1" t="inlineStr">
        <is>
          <t>MaterialCode</t>
        </is>
      </c>
      <c r="AR1" s="1" t="inlineStr">
        <is>
          <t>Weight</t>
        </is>
      </c>
      <c r="AS1" s="1" t="inlineStr">
        <is>
          <t>WeightUnit</t>
        </is>
      </c>
      <c r="AT1" s="1" t="inlineStr">
        <is>
          <t>SKEY</t>
        </is>
      </c>
      <c r="AU1" s="1" t="inlineStr">
        <is>
          <t>TYPE</t>
        </is>
      </c>
      <c r="AV1" t="inlineStr">
        <is>
          <t>PartFamilyId</t>
        </is>
      </c>
      <c r="AW1" t="inlineStr">
        <is>
          <t>CatalogPartFamilyId</t>
        </is>
      </c>
      <c r="AX1" t="inlineStr">
        <is>
          <t>PartStatus</t>
        </is>
      </c>
      <c r="AY1" s="1" t="inlineStr">
        <is>
          <t>Manufacturer</t>
        </is>
      </c>
      <c r="AZ1" s="1" t="inlineStr">
        <is>
          <t>ItemCode</t>
        </is>
      </c>
      <c r="BA1" s="1" t="inlineStr">
        <is>
          <t>DesignPressureFactor</t>
        </is>
      </c>
      <c r="BB1" t="inlineStr">
        <is>
          <t>ConnectionPortCount</t>
        </is>
      </c>
      <c r="BC1" s="1" t="inlineStr">
        <is>
          <t>ComponentDesignation</t>
        </is>
      </c>
      <c r="BD1" t="inlineStr">
        <is>
          <t>PartCategory</t>
        </is>
      </c>
      <c r="BE1" t="inlineStr">
        <is>
          <t>ContentIsoSymbolDefinition</t>
        </is>
      </c>
      <c r="BF1" t="inlineStr">
        <is>
          <t>PartVersion</t>
        </is>
      </c>
      <c r="BG1" s="1" t="inlineStr">
        <is>
          <t>Status</t>
        </is>
      </c>
      <c r="BH1" s="1" t="inlineStr">
        <is>
          <t>PathAngle</t>
        </is>
      </c>
      <c r="BI1" s="1" t="inlineStr">
        <is>
          <t>CurveRadius</t>
        </is>
      </c>
      <c r="BJ1" s="1" t="inlineStr">
        <is>
          <t>SegmentCount</t>
        </is>
      </c>
      <c r="BK1" t="inlineStr">
        <is>
          <t>PnPClassName</t>
        </is>
      </c>
      <c r="BL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DN</t>
        </is>
      </c>
      <c r="F2" s="2" t="inlineStr">
        <is>
          <t>ContentGeometryParamDefinition</t>
        </is>
      </c>
      <c r="G2" s="2" t="inlineStr">
        <is>
          <t>SizeRecordId_S1</t>
        </is>
      </c>
      <c r="H2" s="78" t="inlineStr">
        <is>
          <t>PortName_S1</t>
        </is>
      </c>
      <c r="I2" s="2" t="inlineStr">
        <is>
          <t>NominalDiameter_S1</t>
        </is>
      </c>
      <c r="J2" s="2" t="inlineStr">
        <is>
          <t>NominalUnit_S1</t>
        </is>
      </c>
      <c r="K2" s="2" t="inlineStr">
        <is>
          <t>MatchingPipeOd_S1</t>
        </is>
      </c>
      <c r="L2" s="2" t="inlineStr">
        <is>
          <t>EndType_S1</t>
        </is>
      </c>
      <c r="M2" s="2" t="inlineStr">
        <is>
          <t>FlangeStd_S1</t>
        </is>
      </c>
      <c r="N2" s="2" t="inlineStr">
        <is>
          <t>GasketStd_S1</t>
        </is>
      </c>
      <c r="O2" s="2" t="inlineStr">
        <is>
          <t>Facing_S1</t>
        </is>
      </c>
      <c r="P2" s="2" t="inlineStr">
        <is>
          <t>FlangeThickness_S1</t>
        </is>
      </c>
      <c r="Q2" s="2" t="inlineStr">
        <is>
          <t>PressureClass_S1</t>
        </is>
      </c>
      <c r="R2" s="2" t="inlineStr">
        <is>
          <t>Schedule_S1</t>
        </is>
      </c>
      <c r="S2" s="2" t="inlineStr">
        <is>
          <t>WallThickness_S1</t>
        </is>
      </c>
      <c r="T2" s="2" t="inlineStr">
        <is>
          <t>EngagementLength_S1</t>
        </is>
      </c>
      <c r="U2" s="2" t="inlineStr">
        <is>
          <t>LengthUnit_S1</t>
        </is>
      </c>
      <c r="V2" t="inlineStr">
        <is>
          <t>SizeRecordId_S2</t>
        </is>
      </c>
      <c r="W2" t="inlineStr">
        <is>
          <t>PortName_S2</t>
        </is>
      </c>
      <c r="X2" t="inlineStr">
        <is>
          <t>NominalDiameter_S2</t>
        </is>
      </c>
      <c r="Y2" t="inlineStr">
        <is>
          <t>NominalUnit_S2</t>
        </is>
      </c>
      <c r="Z2" t="inlineStr">
        <is>
          <t>MatchingPipeOd_S2</t>
        </is>
      </c>
      <c r="AA2" t="inlineStr">
        <is>
          <t>EndType_S2</t>
        </is>
      </c>
      <c r="AB2" t="inlineStr">
        <is>
          <t>FlangeStd_S2</t>
        </is>
      </c>
      <c r="AC2" t="inlineStr">
        <is>
          <t>GasketStd_S2</t>
        </is>
      </c>
      <c r="AD2" t="inlineStr">
        <is>
          <t>Facing_S2</t>
        </is>
      </c>
      <c r="AE2" t="inlineStr">
        <is>
          <t>FlangeThickness_S2</t>
        </is>
      </c>
      <c r="AF2" t="inlineStr">
        <is>
          <t>PressureClass_S2</t>
        </is>
      </c>
      <c r="AG2" t="inlineStr">
        <is>
          <t>Schedule_S2</t>
        </is>
      </c>
      <c r="AH2" t="inlineStr">
        <is>
          <t>WallThickness_S2</t>
        </is>
      </c>
      <c r="AI2" t="inlineStr">
        <is>
          <t>EngagementLength_S2</t>
        </is>
      </c>
      <c r="AJ2" t="inlineStr">
        <is>
          <t>LengthUnit_S2</t>
        </is>
      </c>
      <c r="AK2" s="2" t="inlineStr">
        <is>
          <t>ShortDescription</t>
        </is>
      </c>
      <c r="AL2" s="2" t="inlineStr">
        <is>
          <t>CompatibleStandard</t>
        </is>
      </c>
      <c r="AM2" s="2" t="inlineStr">
        <is>
          <t>DesignStd</t>
        </is>
      </c>
      <c r="AN2" s="2" t="inlineStr">
        <is>
          <t>PartFamilyLongDesc</t>
        </is>
      </c>
      <c r="AO2" s="2" t="inlineStr">
        <is>
          <t>PartSizeLongDesc</t>
        </is>
      </c>
      <c r="AP2" s="2" t="inlineStr">
        <is>
          <t>Material</t>
        </is>
      </c>
      <c r="AQ2" s="2" t="inlineStr">
        <is>
          <t>MaterialCode</t>
        </is>
      </c>
      <c r="AR2" s="2" t="inlineStr">
        <is>
          <t>Weight</t>
        </is>
      </c>
      <c r="AS2" s="2" t="inlineStr">
        <is>
          <t>WeightUnit</t>
        </is>
      </c>
      <c r="AT2" s="2" t="inlineStr">
        <is>
          <t>SKEY</t>
        </is>
      </c>
      <c r="AU2" s="2" t="inlineStr">
        <is>
          <t>TYPE</t>
        </is>
      </c>
      <c r="AV2" s="2" t="inlineStr">
        <is>
          <t>PartFamilyId</t>
        </is>
      </c>
      <c r="AW2" s="2" t="inlineStr">
        <is>
          <t>CatalogPartFamilyId</t>
        </is>
      </c>
      <c r="AX2" s="2" t="inlineStr">
        <is>
          <t>PartStatus</t>
        </is>
      </c>
      <c r="AY2" s="2" t="inlineStr">
        <is>
          <t>Manufacturer</t>
        </is>
      </c>
      <c r="AZ2" s="2" t="inlineStr">
        <is>
          <t>ItemCode</t>
        </is>
      </c>
      <c r="BA2" s="2" t="inlineStr">
        <is>
          <t>DesignPressureFactor</t>
        </is>
      </c>
      <c r="BB2" s="2" t="inlineStr">
        <is>
          <t>ConnectionPortCount</t>
        </is>
      </c>
      <c r="BC2" s="2" t="inlineStr">
        <is>
          <t>ComponentDesignation</t>
        </is>
      </c>
      <c r="BD2" s="2" t="inlineStr">
        <is>
          <t>PartCategory</t>
        </is>
      </c>
      <c r="BE2" s="2" t="inlineStr">
        <is>
          <t>ContentIsoSymbolDefinition</t>
        </is>
      </c>
      <c r="BF2" s="2" t="inlineStr">
        <is>
          <t>PartVersion</t>
        </is>
      </c>
      <c r="BG2" s="2" t="inlineStr">
        <is>
          <t>Status</t>
        </is>
      </c>
      <c r="BH2" s="2" t="inlineStr">
        <is>
          <t>PathAngle</t>
        </is>
      </c>
      <c r="BI2" s="2" t="inlineStr">
        <is>
          <t>CurveRadius</t>
        </is>
      </c>
      <c r="BJ2" s="2" t="inlineStr">
        <is>
          <t>SegmentCount</t>
        </is>
      </c>
      <c r="BK2" s="2" t="inlineStr">
        <is>
          <t>PnPClassName</t>
        </is>
      </c>
      <c r="BL2" s="2" t="inlineStr">
        <is>
          <t>ExcelFormatVersion_2.0</t>
        </is>
      </c>
    </row>
    <row r="3">
      <c r="A3" s="1" t="n"/>
      <c r="B3" s="1" t="n"/>
      <c r="C3" s="1" t="n"/>
      <c r="D3" s="1" t="n"/>
      <c r="E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J3" s="1" t="n"/>
      <c r="AK3" s="1" t="n"/>
      <c r="AL3" s="1" t="n"/>
      <c r="AN3" s="1" t="n"/>
      <c r="AR3" s="1" t="n"/>
      <c r="AS3" s="1" t="n"/>
      <c r="AT3" s="1" t="n"/>
      <c r="AU3" s="1" t="n"/>
    </row>
    <row r="4">
      <c r="A4" s="1" t="n"/>
      <c r="B4" s="1" t="n"/>
      <c r="C4" s="1" t="n"/>
      <c r="D4" s="1" t="n"/>
      <c r="E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J4" s="1" t="n"/>
      <c r="AK4" s="1" t="n"/>
      <c r="AL4" s="1" t="n"/>
      <c r="AN4" s="1" t="n"/>
      <c r="AR4" s="1" t="n"/>
      <c r="AS4" s="1" t="n"/>
      <c r="AT4" s="1" t="n"/>
      <c r="AU4" s="1" t="n"/>
    </row>
    <row r="5">
      <c r="A5" s="1" t="n"/>
      <c r="B5" s="1" t="n"/>
      <c r="C5" s="1" t="n"/>
      <c r="D5" s="1" t="n"/>
      <c r="E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J5" s="1" t="n"/>
      <c r="AK5" s="1" t="n"/>
      <c r="AL5" s="1" t="n"/>
      <c r="AN5" s="1" t="n"/>
      <c r="AR5" s="1" t="n"/>
      <c r="AS5" s="1" t="n"/>
      <c r="AT5" s="1" t="n"/>
      <c r="AU5" s="1" t="n"/>
    </row>
  </sheetData>
  <dataValidations count="2">
    <dataValidation sqref="AD3:AD20" showDropDown="0" showInputMessage="1" showErrorMessage="1" allowBlank="1" errorTitle="" error="" promptTitle="" prompt="" type="list" errorStyle="stop" operator="between">
      <formula1>"LB,KG"</formula1>
    </dataValidation>
    <dataValidation sqref="I3:I20 K3:K20 P3:P20 S3:T20 AC3:AC20 AI3:AI20 AM3:AM20 AS3:AU20" showDropDown="0" showInputMessage="1" showErrorMessage="1" allowBlank="1" errorTitle="" error="" promptTitle="" prompt="" type="decimal" errorStyle="stop" operator="between">
      <formula1>-5</formula1>
      <formula2>100000</formula2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L5"/>
  <sheetViews>
    <sheetView topLeftCell="T2" workbookViewId="0">
      <selection activeCell="Z4" sqref="Z4"/>
    </sheetView>
  </sheetViews>
  <sheetFormatPr baseColWidth="8" defaultColWidth="9.139196" defaultRowHeight="15"/>
  <cols>
    <col width="9.140625" customWidth="1" style="1" min="1" max="1"/>
    <col width="5.425781" bestFit="1" customWidth="1" style="1" min="2" max="2"/>
    <col width="29.855469" bestFit="1" customWidth="1" style="1" min="3" max="3"/>
    <col width="118" bestFit="1" customWidth="1" style="1" min="4" max="4"/>
    <col width="3.710938" bestFit="1" customWidth="1" style="1" min="5" max="5"/>
    <col width="32.425781" bestFit="1" customWidth="1" min="6" max="6"/>
    <col width="38.140625" bestFit="1" customWidth="1" min="7" max="7"/>
    <col width="15.855469" bestFit="1" customWidth="1" style="1" min="8" max="8"/>
    <col width="23" bestFit="1" customWidth="1" style="1" min="9" max="9"/>
    <col width="18.425781" bestFit="1" customWidth="1" style="1" min="10" max="10"/>
    <col width="22" bestFit="1" customWidth="1" style="1" min="11" max="11"/>
    <col width="14.425781" bestFit="1" customWidth="1" style="1" min="12" max="12"/>
    <col width="15.570312" bestFit="1" customWidth="1" style="1" min="13" max="13"/>
    <col width="15.855469" bestFit="1" customWidth="1" style="1" min="14" max="14"/>
    <col width="12.285156" bestFit="1" customWidth="1" style="1" min="15" max="15"/>
    <col width="21.570312" bestFit="1" customWidth="1" style="1" min="16" max="16"/>
    <col width="19.140625" bestFit="1" customWidth="1" style="1" min="17" max="17"/>
    <col width="15" bestFit="1" customWidth="1" style="1" min="18" max="18"/>
    <col width="19.710938" bestFit="1" customWidth="1" style="1" min="19" max="19"/>
    <col width="24.140625" bestFit="1" customWidth="1" style="1" min="20" max="20"/>
    <col width="16.710938" bestFit="1" customWidth="1" style="1" min="21" max="21"/>
    <col width="24.140625" bestFit="1" customWidth="1" style="1" min="22" max="22"/>
    <col width="19.425781" bestFit="1" customWidth="1" style="1" min="23" max="23"/>
    <col width="9.855468999999999" bestFit="1" customWidth="1" style="1" min="24" max="24"/>
    <col width="64.140625" bestFit="1" customWidth="1" style="1" min="25" max="25"/>
    <col width="69.425781" bestFit="1" customWidth="1" style="1" min="26" max="26"/>
    <col width="8.570311999999999" bestFit="1" customWidth="1" style="1" min="27" max="27"/>
    <col width="13.285156" bestFit="1" customWidth="1" style="1" min="28" max="28"/>
    <col width="7.570312" bestFit="1" customWidth="1" style="1" min="29" max="29"/>
    <col width="11.425781" bestFit="1" customWidth="1" style="1" min="30" max="30"/>
    <col width="5.285156" bestFit="1" customWidth="1" style="1" min="31" max="32"/>
    <col width="37.285156" bestFit="1" customWidth="1" min="33" max="33"/>
    <col width="19" bestFit="1" customWidth="1" min="34" max="34"/>
    <col width="10" bestFit="1" customWidth="1" min="35" max="35"/>
    <col width="13.285156" bestFit="1" customWidth="1" style="1" min="36" max="36"/>
    <col width="9.710938000000001" bestFit="1" customWidth="1" style="1" min="37" max="37"/>
    <col width="20.425781" bestFit="1" customWidth="1" style="1" min="38" max="38"/>
    <col width="20.425781" bestFit="1" customWidth="1" min="39" max="39"/>
    <col width="22.425781" bestFit="1" customWidth="1" style="1" min="40" max="40"/>
    <col width="12.425781" bestFit="1" customWidth="1" min="41" max="41"/>
    <col width="26.855469" bestFit="1" customWidth="1" min="42" max="42"/>
    <col width="11.425781" bestFit="1" customWidth="1" min="43" max="43"/>
    <col width="6.425781" bestFit="1" customWidth="1" style="1" min="44" max="44"/>
    <col width="10.140625" bestFit="1" customWidth="1" style="1" min="45" max="45"/>
    <col width="12" bestFit="1" customWidth="1" style="1" min="46" max="46"/>
    <col width="14.285156" bestFit="1" customWidth="1" style="1" min="47" max="47"/>
    <col width="14.285156" bestFit="1" customWidth="1" min="48" max="48"/>
    <col width="22.710938" bestFit="1" customWidth="1" min="49" max="49"/>
    <col width="9.140625" customWidth="1" min="50" max="65"/>
  </cols>
  <sheetData>
    <row r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DN</t>
        </is>
      </c>
      <c r="F1" t="inlineStr">
        <is>
          <t>ContentGeometryParamDefinition</t>
        </is>
      </c>
      <c r="G1" t="inlineStr">
        <is>
          <t>SizeRecordId_S1</t>
        </is>
      </c>
      <c r="H1" s="77" t="inlineStr">
        <is>
          <t>PortName_S1</t>
        </is>
      </c>
      <c r="I1" s="1" t="inlineStr">
        <is>
          <t>NominalDiameter_S1</t>
        </is>
      </c>
      <c r="J1" s="1" t="inlineStr">
        <is>
          <t>NominalUnit_S1</t>
        </is>
      </c>
      <c r="K1" s="1" t="inlineStr">
        <is>
          <t>MatchingPipeOd_S1</t>
        </is>
      </c>
      <c r="L1" s="1" t="inlineStr">
        <is>
          <t>EndType_S1</t>
        </is>
      </c>
      <c r="M1" s="1" t="inlineStr">
        <is>
          <t>FlangeStd_S1</t>
        </is>
      </c>
      <c r="N1" s="1" t="inlineStr">
        <is>
          <t>GasketStd_S1</t>
        </is>
      </c>
      <c r="O1" s="1" t="inlineStr">
        <is>
          <t>Facing_S1</t>
        </is>
      </c>
      <c r="P1" s="1" t="inlineStr">
        <is>
          <t>FlangeThickness_S1</t>
        </is>
      </c>
      <c r="Q1" s="1" t="inlineStr">
        <is>
          <t>PressureClass_S1</t>
        </is>
      </c>
      <c r="R1" s="1" t="inlineStr">
        <is>
          <t>Schedule_S1</t>
        </is>
      </c>
      <c r="S1" s="1" t="inlineStr">
        <is>
          <t>WallThickness_S1</t>
        </is>
      </c>
      <c r="T1" s="1" t="inlineStr">
        <is>
          <t>EngagementLength_S1</t>
        </is>
      </c>
      <c r="U1" s="1" t="inlineStr">
        <is>
          <t>LengthUnit_S1</t>
        </is>
      </c>
      <c r="V1" t="inlineStr">
        <is>
          <t>SizeRecordId_S2</t>
        </is>
      </c>
      <c r="W1" t="inlineStr">
        <is>
          <t>PortName_S2</t>
        </is>
      </c>
      <c r="X1" t="inlineStr">
        <is>
          <t>NominalDiameter_S2</t>
        </is>
      </c>
      <c r="Y1" t="inlineStr">
        <is>
          <t>NominalUnit_S2</t>
        </is>
      </c>
      <c r="Z1" t="inlineStr">
        <is>
          <t>MatchingPipeOd_S2</t>
        </is>
      </c>
      <c r="AA1" t="inlineStr">
        <is>
          <t>EndType_S2</t>
        </is>
      </c>
      <c r="AB1" t="inlineStr">
        <is>
          <t>FlangeStd_S2</t>
        </is>
      </c>
      <c r="AC1" t="inlineStr">
        <is>
          <t>GasketStd_S2</t>
        </is>
      </c>
      <c r="AD1" t="inlineStr">
        <is>
          <t>Facing_S2</t>
        </is>
      </c>
      <c r="AE1" t="inlineStr">
        <is>
          <t>FlangeThickness_S2</t>
        </is>
      </c>
      <c r="AF1" t="inlineStr">
        <is>
          <t>PressureClass_S2</t>
        </is>
      </c>
      <c r="AG1" t="inlineStr">
        <is>
          <t>Schedule_S2</t>
        </is>
      </c>
      <c r="AH1" t="inlineStr">
        <is>
          <t>WallThickness_S2</t>
        </is>
      </c>
      <c r="AI1" t="inlineStr">
        <is>
          <t>EngagementLength_S2</t>
        </is>
      </c>
      <c r="AJ1" t="inlineStr">
        <is>
          <t>LengthUnit_S2</t>
        </is>
      </c>
      <c r="AK1" s="1" t="inlineStr">
        <is>
          <t>ShortDescription</t>
        </is>
      </c>
      <c r="AL1" s="1" t="inlineStr">
        <is>
          <t>CompatibleStandard</t>
        </is>
      </c>
      <c r="AM1" s="1" t="inlineStr">
        <is>
          <t>DesignStd</t>
        </is>
      </c>
      <c r="AN1" s="1" t="inlineStr">
        <is>
          <t>PartFamilyLongDesc</t>
        </is>
      </c>
      <c r="AO1" s="1" t="inlineStr">
        <is>
          <t>PartSizeLongDesc</t>
        </is>
      </c>
      <c r="AP1" s="1" t="inlineStr">
        <is>
          <t>Material</t>
        </is>
      </c>
      <c r="AQ1" s="1" t="inlineStr">
        <is>
          <t>MaterialCode</t>
        </is>
      </c>
      <c r="AR1" s="1" t="inlineStr">
        <is>
          <t>Weight</t>
        </is>
      </c>
      <c r="AS1" s="1" t="inlineStr">
        <is>
          <t>WeightUnit</t>
        </is>
      </c>
      <c r="AT1" s="1" t="inlineStr">
        <is>
          <t>SKEY</t>
        </is>
      </c>
      <c r="AU1" s="1" t="inlineStr">
        <is>
          <t>TYPE</t>
        </is>
      </c>
      <c r="AV1" t="inlineStr">
        <is>
          <t>PartFamilyId</t>
        </is>
      </c>
      <c r="AW1" t="inlineStr">
        <is>
          <t>CatalogPartFamilyId</t>
        </is>
      </c>
      <c r="AX1" t="inlineStr">
        <is>
          <t>PartStatus</t>
        </is>
      </c>
      <c r="AY1" s="1" t="inlineStr">
        <is>
          <t>Manufacturer</t>
        </is>
      </c>
      <c r="AZ1" s="1" t="inlineStr">
        <is>
          <t>ItemCode</t>
        </is>
      </c>
      <c r="BA1" s="1" t="inlineStr">
        <is>
          <t>DesignPressureFactor</t>
        </is>
      </c>
      <c r="BB1" t="inlineStr">
        <is>
          <t>ConnectionPortCount</t>
        </is>
      </c>
      <c r="BC1" s="1" t="inlineStr">
        <is>
          <t>ComponentDesignation</t>
        </is>
      </c>
      <c r="BD1" t="inlineStr">
        <is>
          <t>PartCategory</t>
        </is>
      </c>
      <c r="BE1" t="inlineStr">
        <is>
          <t>ContentIsoSymbolDefinition</t>
        </is>
      </c>
      <c r="BF1" t="inlineStr">
        <is>
          <t>PartVersion</t>
        </is>
      </c>
      <c r="BG1" s="1" t="inlineStr">
        <is>
          <t>Status</t>
        </is>
      </c>
      <c r="BH1" s="1" t="inlineStr">
        <is>
          <t>PathAngle</t>
        </is>
      </c>
      <c r="BI1" s="1" t="inlineStr">
        <is>
          <t>CurveRadius</t>
        </is>
      </c>
      <c r="BJ1" s="1" t="inlineStr">
        <is>
          <t>SegmentCount</t>
        </is>
      </c>
      <c r="BK1" t="inlineStr">
        <is>
          <t>PnPClassName</t>
        </is>
      </c>
      <c r="BL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DN</t>
        </is>
      </c>
      <c r="F2" s="2" t="inlineStr">
        <is>
          <t>ContentGeometryParamDefinition</t>
        </is>
      </c>
      <c r="G2" s="2" t="inlineStr">
        <is>
          <t>SizeRecordId_S1</t>
        </is>
      </c>
      <c r="H2" s="78" t="inlineStr">
        <is>
          <t>PortName_S1</t>
        </is>
      </c>
      <c r="I2" s="2" t="inlineStr">
        <is>
          <t>NominalDiameter_S1</t>
        </is>
      </c>
      <c r="J2" s="2" t="inlineStr">
        <is>
          <t>NominalUnit_S1</t>
        </is>
      </c>
      <c r="K2" s="2" t="inlineStr">
        <is>
          <t>MatchingPipeOd_S1</t>
        </is>
      </c>
      <c r="L2" s="2" t="inlineStr">
        <is>
          <t>EndType_S1</t>
        </is>
      </c>
      <c r="M2" s="2" t="inlineStr">
        <is>
          <t>FlangeStd_S1</t>
        </is>
      </c>
      <c r="N2" s="2" t="inlineStr">
        <is>
          <t>GasketStd_S1</t>
        </is>
      </c>
      <c r="O2" s="2" t="inlineStr">
        <is>
          <t>Facing_S1</t>
        </is>
      </c>
      <c r="P2" s="2" t="inlineStr">
        <is>
          <t>FlangeThickness_S1</t>
        </is>
      </c>
      <c r="Q2" s="2" t="inlineStr">
        <is>
          <t>PressureClass_S1</t>
        </is>
      </c>
      <c r="R2" s="2" t="inlineStr">
        <is>
          <t>Schedule_S1</t>
        </is>
      </c>
      <c r="S2" s="2" t="inlineStr">
        <is>
          <t>WallThickness_S1</t>
        </is>
      </c>
      <c r="T2" s="2" t="inlineStr">
        <is>
          <t>EngagementLength_S1</t>
        </is>
      </c>
      <c r="U2" s="2" t="inlineStr">
        <is>
          <t>LengthUnit_S1</t>
        </is>
      </c>
      <c r="V2" t="inlineStr">
        <is>
          <t>SizeRecordId_S2</t>
        </is>
      </c>
      <c r="W2" t="inlineStr">
        <is>
          <t>PortName_S2</t>
        </is>
      </c>
      <c r="X2" t="inlineStr">
        <is>
          <t>NominalDiameter_S2</t>
        </is>
      </c>
      <c r="Y2" t="inlineStr">
        <is>
          <t>NominalUnit_S2</t>
        </is>
      </c>
      <c r="Z2" t="inlineStr">
        <is>
          <t>MatchingPipeOd_S2</t>
        </is>
      </c>
      <c r="AA2" t="inlineStr">
        <is>
          <t>EndType_S2</t>
        </is>
      </c>
      <c r="AB2" t="inlineStr">
        <is>
          <t>FlangeStd_S2</t>
        </is>
      </c>
      <c r="AC2" t="inlineStr">
        <is>
          <t>GasketStd_S2</t>
        </is>
      </c>
      <c r="AD2" t="inlineStr">
        <is>
          <t>Facing_S2</t>
        </is>
      </c>
      <c r="AE2" t="inlineStr">
        <is>
          <t>FlangeThickness_S2</t>
        </is>
      </c>
      <c r="AF2" t="inlineStr">
        <is>
          <t>PressureClass_S2</t>
        </is>
      </c>
      <c r="AG2" t="inlineStr">
        <is>
          <t>Schedule_S2</t>
        </is>
      </c>
      <c r="AH2" t="inlineStr">
        <is>
          <t>WallThickness_S2</t>
        </is>
      </c>
      <c r="AI2" t="inlineStr">
        <is>
          <t>EngagementLength_S2</t>
        </is>
      </c>
      <c r="AJ2" t="inlineStr">
        <is>
          <t>LengthUnit_S2</t>
        </is>
      </c>
      <c r="AK2" s="2" t="inlineStr">
        <is>
          <t>ShortDescription</t>
        </is>
      </c>
      <c r="AL2" s="2" t="inlineStr">
        <is>
          <t>CompatibleStandard</t>
        </is>
      </c>
      <c r="AM2" s="2" t="inlineStr">
        <is>
          <t>DesignStd</t>
        </is>
      </c>
      <c r="AN2" s="2" t="inlineStr">
        <is>
          <t>PartFamilyLongDesc</t>
        </is>
      </c>
      <c r="AO2" s="2" t="inlineStr">
        <is>
          <t>PartSizeLongDesc</t>
        </is>
      </c>
      <c r="AP2" s="2" t="inlineStr">
        <is>
          <t>Material</t>
        </is>
      </c>
      <c r="AQ2" s="2" t="inlineStr">
        <is>
          <t>MaterialCode</t>
        </is>
      </c>
      <c r="AR2" s="2" t="inlineStr">
        <is>
          <t>Weight</t>
        </is>
      </c>
      <c r="AS2" s="2" t="inlineStr">
        <is>
          <t>WeightUnit</t>
        </is>
      </c>
      <c r="AT2" s="2" t="inlineStr">
        <is>
          <t>SKEY</t>
        </is>
      </c>
      <c r="AU2" s="2" t="inlineStr">
        <is>
          <t>TYPE</t>
        </is>
      </c>
      <c r="AV2" s="2" t="inlineStr">
        <is>
          <t>PartFamilyId</t>
        </is>
      </c>
      <c r="AW2" s="2" t="inlineStr">
        <is>
          <t>CatalogPartFamilyId</t>
        </is>
      </c>
      <c r="AX2" s="2" t="inlineStr">
        <is>
          <t>PartStatus</t>
        </is>
      </c>
      <c r="AY2" s="2" t="inlineStr">
        <is>
          <t>Manufacturer</t>
        </is>
      </c>
      <c r="AZ2" s="2" t="inlineStr">
        <is>
          <t>ItemCode</t>
        </is>
      </c>
      <c r="BA2" s="2" t="inlineStr">
        <is>
          <t>DesignPressureFactor</t>
        </is>
      </c>
      <c r="BB2" s="2" t="inlineStr">
        <is>
          <t>ConnectionPortCount</t>
        </is>
      </c>
      <c r="BC2" s="2" t="inlineStr">
        <is>
          <t>ComponentDesignation</t>
        </is>
      </c>
      <c r="BD2" s="2" t="inlineStr">
        <is>
          <t>PartCategory</t>
        </is>
      </c>
      <c r="BE2" s="2" t="inlineStr">
        <is>
          <t>ContentIsoSymbolDefinition</t>
        </is>
      </c>
      <c r="BF2" s="2" t="inlineStr">
        <is>
          <t>PartVersion</t>
        </is>
      </c>
      <c r="BG2" s="2" t="inlineStr">
        <is>
          <t>Status</t>
        </is>
      </c>
      <c r="BH2" s="2" t="inlineStr">
        <is>
          <t>PathAngle</t>
        </is>
      </c>
      <c r="BI2" s="2" t="inlineStr">
        <is>
          <t>CurveRadius</t>
        </is>
      </c>
      <c r="BJ2" s="2" t="inlineStr">
        <is>
          <t>SegmentCount</t>
        </is>
      </c>
      <c r="BK2" s="2" t="inlineStr">
        <is>
          <t>PnPClassName</t>
        </is>
      </c>
      <c r="BL2" s="2" t="inlineStr">
        <is>
          <t>ExcelFormatVersion_2.0</t>
        </is>
      </c>
    </row>
    <row r="3">
      <c r="A3" s="1" t="n"/>
      <c r="B3" s="1" t="n"/>
      <c r="C3" s="1" t="n"/>
      <c r="D3" s="1" t="n"/>
      <c r="E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J3" s="1" t="n"/>
      <c r="AK3" s="1" t="n"/>
      <c r="AL3" s="1" t="n"/>
      <c r="AN3" s="1" t="n"/>
      <c r="AR3" s="1" t="n"/>
      <c r="AS3" s="1" t="n"/>
      <c r="AT3" s="1" t="n"/>
      <c r="AU3" s="1" t="n"/>
    </row>
    <row r="4">
      <c r="A4" s="1" t="n"/>
      <c r="B4" s="1" t="n"/>
      <c r="C4" s="1" t="n"/>
      <c r="D4" s="1" t="n"/>
      <c r="E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J4" s="1" t="n"/>
      <c r="AK4" s="1" t="n"/>
      <c r="AL4" s="1" t="n"/>
      <c r="AN4" s="1" t="n"/>
      <c r="AR4" s="1" t="n"/>
      <c r="AS4" s="1" t="n"/>
      <c r="AT4" s="1" t="n"/>
      <c r="AU4" s="1" t="n"/>
    </row>
    <row r="5">
      <c r="A5" s="1" t="n"/>
      <c r="B5" s="1" t="n"/>
      <c r="C5" s="1" t="n"/>
      <c r="D5" s="1" t="n"/>
      <c r="E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J5" s="1" t="n"/>
      <c r="AK5" s="1" t="n"/>
      <c r="AL5" s="1" t="n"/>
      <c r="AN5" s="1" t="n"/>
      <c r="AR5" s="1" t="n"/>
      <c r="AS5" s="1" t="n"/>
      <c r="AT5" s="1" t="n"/>
      <c r="AU5" s="1" t="n"/>
    </row>
  </sheetData>
  <dataValidations count="2">
    <dataValidation sqref="AD3:AD20" showDropDown="0" showInputMessage="1" showErrorMessage="1" allowBlank="1" errorTitle="" error="" promptTitle="" prompt="" type="list" errorStyle="stop" operator="between">
      <formula1>"LB,KG"</formula1>
    </dataValidation>
    <dataValidation sqref="I3:I20 K3:K20 P3:P20 S3:T20 AC3:AC20 AI3:AI20 AM3:AM20 AS3:AU20" showDropDown="0" showInputMessage="1" showErrorMessage="1" allowBlank="1" errorTitle="" error="" promptTitle="" prompt="" type="decimal" errorStyle="stop" operator="between">
      <formula1>-5</formula1>
      <formula2>100000</formula2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J20"/>
  <sheetViews>
    <sheetView topLeftCell="S2" workbookViewId="0">
      <selection activeCell="AA4" sqref="AA4"/>
    </sheetView>
  </sheetViews>
  <sheetFormatPr baseColWidth="8" defaultColWidth="9.139196" defaultRowHeight="15"/>
  <cols>
    <col width="9.140625" customWidth="1" style="1" min="1" max="1"/>
    <col width="5.425781" bestFit="1" customWidth="1" style="1" min="2" max="2"/>
    <col width="19.285156" bestFit="1" customWidth="1" style="1" min="3" max="3"/>
    <col width="107.425781" bestFit="1" customWidth="1" style="1" min="4" max="4"/>
    <col width="3.710938" bestFit="1" customWidth="1" style="1" min="5" max="5"/>
    <col width="4.570312" bestFit="1" customWidth="1" style="1" min="6" max="6"/>
    <col width="32.425781" bestFit="1" customWidth="1" min="7" max="7"/>
    <col width="37.140625" bestFit="1" customWidth="1" min="8" max="8"/>
    <col width="15.855469" bestFit="1" customWidth="1" style="1" min="9" max="9"/>
    <col width="23" bestFit="1" customWidth="1" style="1" min="10" max="10"/>
    <col width="18.425781" bestFit="1" customWidth="1" style="1" min="11" max="11"/>
    <col width="22" bestFit="1" customWidth="1" style="1" min="12" max="12"/>
    <col width="14.425781" bestFit="1" customWidth="1" style="1" min="13" max="13"/>
    <col width="15.570312" bestFit="1" customWidth="1" style="1" min="14" max="14"/>
    <col width="15.855469" bestFit="1" customWidth="1" style="1" min="15" max="15"/>
    <col width="12.285156" bestFit="1" customWidth="1" style="1" min="16" max="16"/>
    <col width="21.570312" bestFit="1" customWidth="1" style="1" min="17" max="17"/>
    <col width="19.140625" bestFit="1" customWidth="1" style="1" min="18" max="18"/>
    <col width="15" bestFit="1" customWidth="1" style="1" min="19" max="19"/>
    <col width="19.710938" bestFit="1" customWidth="1" style="1" min="20" max="20"/>
    <col width="24.140625" bestFit="1" customWidth="1" style="1" min="21" max="21"/>
    <col width="16.710938" bestFit="1" customWidth="1" style="1" min="22" max="22"/>
    <col width="16" bestFit="1" customWidth="1" style="1" min="23" max="23"/>
    <col width="19.425781" bestFit="1" customWidth="1" style="1" min="24" max="24"/>
    <col width="9.855468999999999" bestFit="1" customWidth="1" style="1" min="25" max="25"/>
    <col width="42.425781" bestFit="1" customWidth="1" style="1" min="26" max="26"/>
    <col width="47.710938" bestFit="1" customWidth="1" style="1" min="27" max="27"/>
    <col width="8.570311999999999" bestFit="1" customWidth="1" style="1" min="28" max="28"/>
    <col width="13.285156" bestFit="1" customWidth="1" style="1" min="29" max="29"/>
    <col width="7.570312" bestFit="1" customWidth="1" style="1" min="30" max="30"/>
    <col width="11.425781" bestFit="1" customWidth="1" style="1" min="31" max="31"/>
    <col width="5.285156" bestFit="1" customWidth="1" style="1" min="32" max="33"/>
    <col width="36.285156" bestFit="1" customWidth="1" min="34" max="34"/>
    <col width="19" bestFit="1" customWidth="1" min="35" max="35"/>
    <col width="10" bestFit="1" customWidth="1" min="36" max="36"/>
    <col width="13.285156" bestFit="1" customWidth="1" style="1" min="37" max="37"/>
    <col width="9.710938000000001" bestFit="1" customWidth="1" style="1" min="38" max="38"/>
    <col width="20.425781" bestFit="1" customWidth="1" style="1" min="39" max="39"/>
    <col width="20.425781" bestFit="1" customWidth="1" min="40" max="40"/>
    <col width="22.425781" bestFit="1" customWidth="1" style="1" min="41" max="41"/>
    <col width="12.425781" bestFit="1" customWidth="1" min="42" max="42"/>
    <col width="26.855469" bestFit="1" customWidth="1" min="43" max="43"/>
    <col width="11.425781" bestFit="1" customWidth="1" min="44" max="44"/>
    <col width="6.425781" bestFit="1" customWidth="1" style="1" min="45" max="45"/>
    <col width="14.285156" bestFit="1" customWidth="1" min="46" max="46"/>
    <col width="22.710938" bestFit="1" customWidth="1" min="47" max="47"/>
    <col width="9.140625" customWidth="1" min="48" max="63"/>
  </cols>
  <sheetData>
    <row r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DN</t>
        </is>
      </c>
      <c r="F1" s="1" t="inlineStr">
        <is>
          <t>T</t>
        </is>
      </c>
      <c r="G1" t="inlineStr">
        <is>
          <t>ContentGeometryParamDefinition</t>
        </is>
      </c>
      <c r="H1" t="inlineStr">
        <is>
          <t>SizeRecordId_S1</t>
        </is>
      </c>
      <c r="I1" s="77" t="inlineStr">
        <is>
          <t>PortName_S1</t>
        </is>
      </c>
      <c r="J1" s="1" t="inlineStr">
        <is>
          <t>NominalDiameter_S1</t>
        </is>
      </c>
      <c r="K1" s="1" t="inlineStr">
        <is>
          <t>NominalUnit_S1</t>
        </is>
      </c>
      <c r="L1" s="1" t="inlineStr">
        <is>
          <t>MatchingPipeOd_S1</t>
        </is>
      </c>
      <c r="M1" s="1" t="inlineStr">
        <is>
          <t>EndType_S1</t>
        </is>
      </c>
      <c r="N1" s="1" t="inlineStr">
        <is>
          <t>FlangeStd_S1</t>
        </is>
      </c>
      <c r="O1" s="1" t="inlineStr">
        <is>
          <t>GasketStd_S1</t>
        </is>
      </c>
      <c r="P1" s="1" t="inlineStr">
        <is>
          <t>Facing_S1</t>
        </is>
      </c>
      <c r="Q1" s="1" t="inlineStr">
        <is>
          <t>FlangeThickness_S1</t>
        </is>
      </c>
      <c r="R1" s="1" t="inlineStr">
        <is>
          <t>PressureClass_S1</t>
        </is>
      </c>
      <c r="S1" s="1" t="inlineStr">
        <is>
          <t>Schedule_S1</t>
        </is>
      </c>
      <c r="T1" s="1" t="inlineStr">
        <is>
          <t>WallThickness_S1</t>
        </is>
      </c>
      <c r="U1" s="1" t="inlineStr">
        <is>
          <t>EngagementLength_S1</t>
        </is>
      </c>
      <c r="V1" s="1" t="inlineStr">
        <is>
          <t>LengthUnit_S1</t>
        </is>
      </c>
      <c r="W1" t="inlineStr">
        <is>
          <t>SizeRecordId_S2</t>
        </is>
      </c>
      <c r="X1" t="inlineStr">
        <is>
          <t>PortName_S2</t>
        </is>
      </c>
      <c r="Y1" t="inlineStr">
        <is>
          <t>NominalDiameter_S2</t>
        </is>
      </c>
      <c r="Z1" t="inlineStr">
        <is>
          <t>NominalUnit_S2</t>
        </is>
      </c>
      <c r="AA1" t="inlineStr">
        <is>
          <t>MatchingPipeOd_S2</t>
        </is>
      </c>
      <c r="AB1" t="inlineStr">
        <is>
          <t>EndType_S2</t>
        </is>
      </c>
      <c r="AC1" t="inlineStr">
        <is>
          <t>FlangeStd_S2</t>
        </is>
      </c>
      <c r="AD1" t="inlineStr">
        <is>
          <t>GasketStd_S2</t>
        </is>
      </c>
      <c r="AE1" t="inlineStr">
        <is>
          <t>Facing_S2</t>
        </is>
      </c>
      <c r="AF1" t="inlineStr">
        <is>
          <t>FlangeThickness_S2</t>
        </is>
      </c>
      <c r="AG1" t="inlineStr">
        <is>
          <t>PressureClass_S2</t>
        </is>
      </c>
      <c r="AH1" t="inlineStr">
        <is>
          <t>Schedule_S2</t>
        </is>
      </c>
      <c r="AI1" t="inlineStr">
        <is>
          <t>WallThickness_S2</t>
        </is>
      </c>
      <c r="AJ1" t="inlineStr">
        <is>
          <t>EngagementLength_S2</t>
        </is>
      </c>
      <c r="AK1" t="inlineStr">
        <is>
          <t>LengthUnit_S2</t>
        </is>
      </c>
      <c r="AL1" s="1" t="inlineStr">
        <is>
          <t>ShortDescription</t>
        </is>
      </c>
      <c r="AM1" s="1" t="inlineStr">
        <is>
          <t>CompatibleStandard</t>
        </is>
      </c>
      <c r="AN1" s="1" t="inlineStr">
        <is>
          <t>DesignStd</t>
        </is>
      </c>
      <c r="AO1" s="1" t="inlineStr">
        <is>
          <t>PartFamilyLongDesc</t>
        </is>
      </c>
      <c r="AP1" s="1" t="inlineStr">
        <is>
          <t>PartSizeLongDesc</t>
        </is>
      </c>
      <c r="AQ1" s="1" t="inlineStr">
        <is>
          <t>Material</t>
        </is>
      </c>
      <c r="AR1" s="1" t="inlineStr">
        <is>
          <t>MaterialCode</t>
        </is>
      </c>
      <c r="AS1" s="1" t="inlineStr">
        <is>
          <t>Weight</t>
        </is>
      </c>
      <c r="AT1" s="1" t="inlineStr">
        <is>
          <t>WeightUnit</t>
        </is>
      </c>
      <c r="AU1" s="1" t="inlineStr">
        <is>
          <t>SKEY</t>
        </is>
      </c>
      <c r="AV1" s="1" t="inlineStr">
        <is>
          <t>TYPE</t>
        </is>
      </c>
      <c r="AW1" t="inlineStr">
        <is>
          <t>PartFamilyId</t>
        </is>
      </c>
      <c r="AX1" t="inlineStr">
        <is>
          <t>CatalogPartFamilyId</t>
        </is>
      </c>
      <c r="AY1" t="inlineStr">
        <is>
          <t>PartStatus</t>
        </is>
      </c>
      <c r="AZ1" s="1" t="inlineStr">
        <is>
          <t>Manufacturer</t>
        </is>
      </c>
      <c r="BA1" s="1" t="inlineStr">
        <is>
          <t>ItemCode</t>
        </is>
      </c>
      <c r="BB1" s="1" t="inlineStr">
        <is>
          <t>DesignPressureFactor</t>
        </is>
      </c>
      <c r="BC1" t="inlineStr">
        <is>
          <t>ConnectionPortCount</t>
        </is>
      </c>
      <c r="BD1" s="1" t="inlineStr">
        <is>
          <t>ComponentDesignation</t>
        </is>
      </c>
      <c r="BE1" t="inlineStr">
        <is>
          <t>PartCategory</t>
        </is>
      </c>
      <c r="BF1" t="inlineStr">
        <is>
          <t>ContentIsoSymbolDefinition</t>
        </is>
      </c>
      <c r="BG1" t="inlineStr">
        <is>
          <t>PartVersion</t>
        </is>
      </c>
      <c r="BH1" s="1" t="inlineStr">
        <is>
          <t>Status</t>
        </is>
      </c>
      <c r="BI1" t="inlineStr">
        <is>
          <t>PnPClassName</t>
        </is>
      </c>
      <c r="BJ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DN</t>
        </is>
      </c>
      <c r="F2" s="2" t="inlineStr">
        <is>
          <t>T</t>
        </is>
      </c>
      <c r="G2" s="2" t="inlineStr">
        <is>
          <t>ContentGeometryParamDefinition</t>
        </is>
      </c>
      <c r="H2" s="2" t="inlineStr">
        <is>
          <t>SizeRecordId_S1</t>
        </is>
      </c>
      <c r="I2" s="78" t="inlineStr">
        <is>
          <t>PortName_S1</t>
        </is>
      </c>
      <c r="J2" s="2" t="inlineStr">
        <is>
          <t>NominalDiameter_S1</t>
        </is>
      </c>
      <c r="K2" s="2" t="inlineStr">
        <is>
          <t>NominalUnit_S1</t>
        </is>
      </c>
      <c r="L2" s="2" t="inlineStr">
        <is>
          <t>MatchingPipeOd_S1</t>
        </is>
      </c>
      <c r="M2" s="2" t="inlineStr">
        <is>
          <t>EndType_S1</t>
        </is>
      </c>
      <c r="N2" s="2" t="inlineStr">
        <is>
          <t>FlangeStd_S1</t>
        </is>
      </c>
      <c r="O2" s="2" t="inlineStr">
        <is>
          <t>GasketStd_S1</t>
        </is>
      </c>
      <c r="P2" s="2" t="inlineStr">
        <is>
          <t>Facing_S1</t>
        </is>
      </c>
      <c r="Q2" s="2" t="inlineStr">
        <is>
          <t>FlangeThickness_S1</t>
        </is>
      </c>
      <c r="R2" s="2" t="inlineStr">
        <is>
          <t>PressureClass_S1</t>
        </is>
      </c>
      <c r="S2" s="2" t="inlineStr">
        <is>
          <t>Schedule_S1</t>
        </is>
      </c>
      <c r="T2" s="2" t="inlineStr">
        <is>
          <t>WallThickness_S1</t>
        </is>
      </c>
      <c r="U2" s="2" t="inlineStr">
        <is>
          <t>EngagementLength_S1</t>
        </is>
      </c>
      <c r="V2" s="2" t="inlineStr">
        <is>
          <t>LengthUnit_S1</t>
        </is>
      </c>
      <c r="W2" t="inlineStr">
        <is>
          <t>SizeRecordId_S2</t>
        </is>
      </c>
      <c r="X2" t="inlineStr">
        <is>
          <t>PortName_S2</t>
        </is>
      </c>
      <c r="Y2" t="inlineStr">
        <is>
          <t>NominalDiameter_S2</t>
        </is>
      </c>
      <c r="Z2" t="inlineStr">
        <is>
          <t>NominalUnit_S2</t>
        </is>
      </c>
      <c r="AA2" t="inlineStr">
        <is>
          <t>MatchingPipeOd_S2</t>
        </is>
      </c>
      <c r="AB2" t="inlineStr">
        <is>
          <t>EndType_S2</t>
        </is>
      </c>
      <c r="AC2" t="inlineStr">
        <is>
          <t>FlangeStd_S2</t>
        </is>
      </c>
      <c r="AD2" t="inlineStr">
        <is>
          <t>GasketStd_S2</t>
        </is>
      </c>
      <c r="AE2" t="inlineStr">
        <is>
          <t>Facing_S2</t>
        </is>
      </c>
      <c r="AF2" t="inlineStr">
        <is>
          <t>FlangeThickness_S2</t>
        </is>
      </c>
      <c r="AG2" t="inlineStr">
        <is>
          <t>PressureClass_S2</t>
        </is>
      </c>
      <c r="AH2" t="inlineStr">
        <is>
          <t>Schedule_S2</t>
        </is>
      </c>
      <c r="AI2" t="inlineStr">
        <is>
          <t>WallThickness_S2</t>
        </is>
      </c>
      <c r="AJ2" t="inlineStr">
        <is>
          <t>EngagementLength_S2</t>
        </is>
      </c>
      <c r="AK2" t="inlineStr">
        <is>
          <t>LengthUnit_S2</t>
        </is>
      </c>
      <c r="AL2" s="2" t="inlineStr">
        <is>
          <t>ShortDescription</t>
        </is>
      </c>
      <c r="AM2" s="2" t="inlineStr">
        <is>
          <t>CompatibleStandard</t>
        </is>
      </c>
      <c r="AN2" s="2" t="inlineStr">
        <is>
          <t>DesignStd</t>
        </is>
      </c>
      <c r="AO2" s="2" t="inlineStr">
        <is>
          <t>PartFamilyLongDesc</t>
        </is>
      </c>
      <c r="AP2" s="2" t="inlineStr">
        <is>
          <t>PartSizeLongDesc</t>
        </is>
      </c>
      <c r="AQ2" s="2" t="inlineStr">
        <is>
          <t>Material</t>
        </is>
      </c>
      <c r="AR2" s="2" t="inlineStr">
        <is>
          <t>MaterialCode</t>
        </is>
      </c>
      <c r="AS2" s="2" t="inlineStr">
        <is>
          <t>Weight</t>
        </is>
      </c>
      <c r="AT2" s="2" t="inlineStr">
        <is>
          <t>WeightUnit</t>
        </is>
      </c>
      <c r="AU2" s="2" t="inlineStr">
        <is>
          <t>SKEY</t>
        </is>
      </c>
      <c r="AV2" s="2" t="inlineStr">
        <is>
          <t>TYPE</t>
        </is>
      </c>
      <c r="AW2" s="2" t="inlineStr">
        <is>
          <t>PartFamilyId</t>
        </is>
      </c>
      <c r="AX2" s="2" t="inlineStr">
        <is>
          <t>CatalogPartFamilyId</t>
        </is>
      </c>
      <c r="AY2" s="2" t="inlineStr">
        <is>
          <t>PartStatus</t>
        </is>
      </c>
      <c r="AZ2" s="2" t="inlineStr">
        <is>
          <t>Manufacturer</t>
        </is>
      </c>
      <c r="BA2" s="2" t="inlineStr">
        <is>
          <t>ItemCode</t>
        </is>
      </c>
      <c r="BB2" s="2" t="inlineStr">
        <is>
          <t>DesignPressureFactor</t>
        </is>
      </c>
      <c r="BC2" s="2" t="inlineStr">
        <is>
          <t>ConnectionPortCount</t>
        </is>
      </c>
      <c r="BD2" s="2" t="inlineStr">
        <is>
          <t>ComponentDesignation</t>
        </is>
      </c>
      <c r="BE2" s="2" t="inlineStr">
        <is>
          <t>PartCategory</t>
        </is>
      </c>
      <c r="BF2" s="2" t="inlineStr">
        <is>
          <t>ContentIsoSymbolDefinition</t>
        </is>
      </c>
      <c r="BG2" s="2" t="inlineStr">
        <is>
          <t>PartVersion</t>
        </is>
      </c>
      <c r="BH2" s="2" t="inlineStr">
        <is>
          <t>Status</t>
        </is>
      </c>
      <c r="BI2" s="2" t="inlineStr">
        <is>
          <t>PnPClassName</t>
        </is>
      </c>
      <c r="BJ2" s="2" t="inlineStr">
        <is>
          <t>ExcelFormatVersion_2.0</t>
        </is>
      </c>
    </row>
    <row r="3">
      <c r="B3" s="1" t="inlineStr">
        <is>
          <t>15</t>
        </is>
      </c>
      <c r="C3" s="1" t="inlineStr">
        <is>
          <t>CUST_GSK_RF_CL150</t>
        </is>
      </c>
      <c r="D3" s="1" t="inlineStr">
        <is>
          <t>C:\AutoCAD Plant 3D 2026 Content\CPak Common\CustomScripts\CUST_GSK_RF_CL150.py</t>
        </is>
      </c>
      <c r="E3" s="1" t="inlineStr">
        <is>
          <t>15</t>
        </is>
      </c>
      <c r="F3" s="8" t="n">
        <v>1.5</v>
      </c>
      <c r="G3" t="inlineStr">
        <is>
          <t>DN,T</t>
        </is>
      </c>
      <c r="H3" t="inlineStr">
        <is>
          <t>dcbcb97a-b446-49a5-a686-149b081d8d7f</t>
        </is>
      </c>
      <c r="I3" s="77" t="inlineStr">
        <is>
          <t>ALL</t>
        </is>
      </c>
      <c r="J3" s="1" t="inlineStr">
        <is>
          <t>15</t>
        </is>
      </c>
      <c r="K3" s="1" t="inlineStr">
        <is>
          <t>mm</t>
        </is>
      </c>
      <c r="L3" s="1" t="inlineStr">
        <is>
          <t>21.34</t>
        </is>
      </c>
      <c r="M3" s="1" t="inlineStr">
        <is>
          <t>Undefined_ET</t>
        </is>
      </c>
      <c r="P3" s="1" t="inlineStr">
        <is>
          <t>RF</t>
        </is>
      </c>
      <c r="R3" s="1" t="inlineStr">
        <is>
          <t>150</t>
        </is>
      </c>
      <c r="T3" s="1" t="inlineStr">
        <is>
          <t>0</t>
        </is>
      </c>
      <c r="U3" s="1" t="inlineStr">
        <is>
          <t>0</t>
        </is>
      </c>
      <c r="V3" s="1" t="inlineStr">
        <is>
          <t>mm</t>
        </is>
      </c>
      <c r="AL3" s="1" t="inlineStr">
        <is>
          <t>GSK_RF_CL150</t>
        </is>
      </c>
      <c r="AO3" s="1" t="inlineStr">
        <is>
          <t>Gasket CNAF Ring-Type CL150 Klingersil C4500</t>
        </is>
      </c>
      <c r="AP3" s="1">
        <f>REPLACE(Z3, 12, 0, " DN" &amp; E3)</f>
        <v/>
      </c>
      <c r="AQ3" s="1" t="inlineStr">
        <is>
          <t>CNAF</t>
        </is>
      </c>
      <c r="AW3" t="inlineStr">
        <is>
          <t>ce58bef9-94c8-4641-b3c9-4c8c5712efb3</t>
        </is>
      </c>
      <c r="BC3" t="inlineStr">
        <is>
          <t>2</t>
        </is>
      </c>
      <c r="BE3" t="inlineStr">
        <is>
          <t>Fasteners</t>
        </is>
      </c>
      <c r="BI3" t="inlineStr">
        <is>
          <t>Gasket</t>
        </is>
      </c>
    </row>
    <row r="4">
      <c r="B4" s="1" t="inlineStr">
        <is>
          <t>20</t>
        </is>
      </c>
      <c r="C4" s="1" t="inlineStr">
        <is>
          <t>CUST_GSK_RF_CL150</t>
        </is>
      </c>
      <c r="D4" s="1" t="inlineStr">
        <is>
          <t>C:\AutoCAD Plant 3D 2026 Content\CPak Common\CustomScripts\CUST_GSK_RF_CL150.py</t>
        </is>
      </c>
      <c r="E4" s="1" t="inlineStr">
        <is>
          <t>20</t>
        </is>
      </c>
      <c r="F4" s="8" t="n">
        <v>1.5</v>
      </c>
      <c r="G4" t="inlineStr">
        <is>
          <t>DN,T</t>
        </is>
      </c>
      <c r="H4" t="inlineStr">
        <is>
          <t>c849322c-7799-4227-b286-fc0b5938ecdb</t>
        </is>
      </c>
      <c r="I4" s="77" t="inlineStr">
        <is>
          <t>ALL</t>
        </is>
      </c>
      <c r="J4" s="1" t="inlineStr">
        <is>
          <t>20</t>
        </is>
      </c>
      <c r="K4" s="1" t="inlineStr">
        <is>
          <t>mm</t>
        </is>
      </c>
      <c r="L4" s="1" t="inlineStr">
        <is>
          <t>26.67</t>
        </is>
      </c>
      <c r="M4" s="1" t="inlineStr">
        <is>
          <t>Undefined_ET</t>
        </is>
      </c>
      <c r="P4" s="1" t="inlineStr">
        <is>
          <t>RF</t>
        </is>
      </c>
      <c r="R4" s="1" t="inlineStr">
        <is>
          <t>150</t>
        </is>
      </c>
      <c r="T4" s="1" t="inlineStr">
        <is>
          <t>0</t>
        </is>
      </c>
      <c r="U4" s="1" t="inlineStr">
        <is>
          <t>0</t>
        </is>
      </c>
      <c r="V4" s="1" t="inlineStr">
        <is>
          <t>mm</t>
        </is>
      </c>
      <c r="AL4" s="1" t="inlineStr">
        <is>
          <t>GSK_RF_CL150</t>
        </is>
      </c>
      <c r="AO4" s="1" t="inlineStr">
        <is>
          <t>Gasket CNAF Ring-Type CL150 Klingersil C4500</t>
        </is>
      </c>
      <c r="AP4" s="1">
        <f>REPLACE(Z4, 12, 0, " DN" &amp; E4)</f>
        <v/>
      </c>
      <c r="AQ4" s="1" t="inlineStr">
        <is>
          <t>CNAF</t>
        </is>
      </c>
      <c r="AW4" t="inlineStr">
        <is>
          <t>ce58bef9-94c8-4641-b3c9-4c8c5712efb3</t>
        </is>
      </c>
      <c r="BC4" t="inlineStr">
        <is>
          <t>2</t>
        </is>
      </c>
      <c r="BE4" t="inlineStr">
        <is>
          <t>Fasteners</t>
        </is>
      </c>
      <c r="BI4" t="inlineStr">
        <is>
          <t>Gasket</t>
        </is>
      </c>
    </row>
    <row r="5">
      <c r="B5" s="1" t="inlineStr">
        <is>
          <t>25</t>
        </is>
      </c>
      <c r="C5" s="1" t="inlineStr">
        <is>
          <t>CUST_GSK_RF_CL150</t>
        </is>
      </c>
      <c r="D5" s="1" t="inlineStr">
        <is>
          <t>C:\AutoCAD Plant 3D 2026 Content\CPak Common\CustomScripts\CUST_GSK_RF_CL150.py</t>
        </is>
      </c>
      <c r="E5" s="1" t="inlineStr">
        <is>
          <t>25</t>
        </is>
      </c>
      <c r="F5" s="8" t="n">
        <v>1.5</v>
      </c>
      <c r="G5" t="inlineStr">
        <is>
          <t>DN,T</t>
        </is>
      </c>
      <c r="H5" t="inlineStr">
        <is>
          <t>d8def99d-6716-4af4-8163-bdec5d962eaf</t>
        </is>
      </c>
      <c r="I5" s="77" t="inlineStr">
        <is>
          <t>ALL</t>
        </is>
      </c>
      <c r="J5" s="1" t="inlineStr">
        <is>
          <t>25</t>
        </is>
      </c>
      <c r="K5" s="1" t="inlineStr">
        <is>
          <t>mm</t>
        </is>
      </c>
      <c r="L5" s="1" t="inlineStr">
        <is>
          <t>33.4</t>
        </is>
      </c>
      <c r="M5" s="1" t="inlineStr">
        <is>
          <t>Undefined_ET</t>
        </is>
      </c>
      <c r="P5" s="1" t="inlineStr">
        <is>
          <t>RF</t>
        </is>
      </c>
      <c r="R5" s="1" t="inlineStr">
        <is>
          <t>150</t>
        </is>
      </c>
      <c r="T5" s="1" t="inlineStr">
        <is>
          <t>0</t>
        </is>
      </c>
      <c r="U5" s="1" t="inlineStr">
        <is>
          <t>0</t>
        </is>
      </c>
      <c r="V5" s="1" t="inlineStr">
        <is>
          <t>mm</t>
        </is>
      </c>
      <c r="AL5" s="1" t="inlineStr">
        <is>
          <t>GSK_RF_CL150</t>
        </is>
      </c>
      <c r="AO5" s="1" t="inlineStr">
        <is>
          <t>Gasket CNAF Ring-Type CL150 Klingersil C4500</t>
        </is>
      </c>
      <c r="AP5" s="1">
        <f>REPLACE(Z5, 12, 0, " DN" &amp; E5)</f>
        <v/>
      </c>
      <c r="AQ5" s="1" t="inlineStr">
        <is>
          <t>CNAF</t>
        </is>
      </c>
      <c r="AW5" t="inlineStr">
        <is>
          <t>ce58bef9-94c8-4641-b3c9-4c8c5712efb3</t>
        </is>
      </c>
      <c r="BC5" t="inlineStr">
        <is>
          <t>2</t>
        </is>
      </c>
      <c r="BE5" t="inlineStr">
        <is>
          <t>Fasteners</t>
        </is>
      </c>
      <c r="BI5" t="inlineStr">
        <is>
          <t>Gasket</t>
        </is>
      </c>
    </row>
    <row r="6">
      <c r="B6" s="1" t="inlineStr">
        <is>
          <t>32</t>
        </is>
      </c>
      <c r="C6" s="1" t="inlineStr">
        <is>
          <t>CUST_GSK_RF_CL150</t>
        </is>
      </c>
      <c r="D6" s="1" t="inlineStr">
        <is>
          <t>C:\AutoCAD Plant 3D 2026 Content\CPak Common\CustomScripts\CUST_GSK_RF_CL150.py</t>
        </is>
      </c>
      <c r="E6" s="1" t="inlineStr">
        <is>
          <t>32</t>
        </is>
      </c>
      <c r="F6" s="8" t="n">
        <v>1.5</v>
      </c>
      <c r="G6" t="inlineStr">
        <is>
          <t>DN,T</t>
        </is>
      </c>
      <c r="H6" t="inlineStr">
        <is>
          <t>3f4634c7-439a-4495-a148-4ed5ffed066a</t>
        </is>
      </c>
      <c r="I6" s="77" t="inlineStr">
        <is>
          <t>ALL</t>
        </is>
      </c>
      <c r="J6" s="1" t="inlineStr">
        <is>
          <t>32</t>
        </is>
      </c>
      <c r="K6" s="1" t="inlineStr">
        <is>
          <t>mm</t>
        </is>
      </c>
      <c r="L6" s="1" t="inlineStr">
        <is>
          <t>42.16</t>
        </is>
      </c>
      <c r="M6" s="1" t="inlineStr">
        <is>
          <t>Undefined_ET</t>
        </is>
      </c>
      <c r="P6" s="1" t="inlineStr">
        <is>
          <t>RF</t>
        </is>
      </c>
      <c r="R6" s="1" t="inlineStr">
        <is>
          <t>150</t>
        </is>
      </c>
      <c r="T6" s="1" t="inlineStr">
        <is>
          <t>0</t>
        </is>
      </c>
      <c r="U6" s="1" t="inlineStr">
        <is>
          <t>0</t>
        </is>
      </c>
      <c r="V6" s="1" t="inlineStr">
        <is>
          <t>mm</t>
        </is>
      </c>
      <c r="AL6" s="1" t="inlineStr">
        <is>
          <t>GSK_RF_CL150</t>
        </is>
      </c>
      <c r="AO6" s="1" t="inlineStr">
        <is>
          <t>Gasket CNAF Ring-Type CL150 Klingersil C4500</t>
        </is>
      </c>
      <c r="AP6" s="1">
        <f>REPLACE(Z6, 12, 0, " DN" &amp; E6)</f>
        <v/>
      </c>
      <c r="AQ6" s="1" t="inlineStr">
        <is>
          <t>CNAF</t>
        </is>
      </c>
      <c r="AW6" t="inlineStr">
        <is>
          <t>ce58bef9-94c8-4641-b3c9-4c8c5712efb3</t>
        </is>
      </c>
      <c r="BC6" t="inlineStr">
        <is>
          <t>2</t>
        </is>
      </c>
      <c r="BE6" t="inlineStr">
        <is>
          <t>Fasteners</t>
        </is>
      </c>
      <c r="BI6" t="inlineStr">
        <is>
          <t>Gasket</t>
        </is>
      </c>
    </row>
    <row r="7">
      <c r="B7" s="1" t="inlineStr">
        <is>
          <t>40</t>
        </is>
      </c>
      <c r="C7" s="1" t="inlineStr">
        <is>
          <t>CUST_GSK_RF_CL150</t>
        </is>
      </c>
      <c r="D7" s="1" t="inlineStr">
        <is>
          <t>C:\AutoCAD Plant 3D 2026 Content\CPak Common\CustomScripts\CUST_GSK_RF_CL150.py</t>
        </is>
      </c>
      <c r="E7" s="1" t="inlineStr">
        <is>
          <t>40</t>
        </is>
      </c>
      <c r="F7" s="8" t="n">
        <v>1.5</v>
      </c>
      <c r="G7" t="inlineStr">
        <is>
          <t>DN,T</t>
        </is>
      </c>
      <c r="H7" t="inlineStr">
        <is>
          <t>092930d7-8188-480f-aeb1-edaccf660eb9</t>
        </is>
      </c>
      <c r="I7" s="77" t="inlineStr">
        <is>
          <t>ALL</t>
        </is>
      </c>
      <c r="J7" s="1" t="inlineStr">
        <is>
          <t>40</t>
        </is>
      </c>
      <c r="K7" s="1" t="inlineStr">
        <is>
          <t>mm</t>
        </is>
      </c>
      <c r="L7" s="1" t="inlineStr">
        <is>
          <t>48.26</t>
        </is>
      </c>
      <c r="M7" s="1" t="inlineStr">
        <is>
          <t>Undefined_ET</t>
        </is>
      </c>
      <c r="P7" s="1" t="inlineStr">
        <is>
          <t>RF</t>
        </is>
      </c>
      <c r="R7" s="1" t="inlineStr">
        <is>
          <t>150</t>
        </is>
      </c>
      <c r="T7" s="1" t="inlineStr">
        <is>
          <t>0</t>
        </is>
      </c>
      <c r="U7" s="1" t="inlineStr">
        <is>
          <t>0</t>
        </is>
      </c>
      <c r="V7" s="1" t="inlineStr">
        <is>
          <t>mm</t>
        </is>
      </c>
      <c r="AL7" s="1" t="inlineStr">
        <is>
          <t>GSK_RF_CL150</t>
        </is>
      </c>
      <c r="AO7" s="1" t="inlineStr">
        <is>
          <t>Gasket CNAF Ring-Type CL150 Klingersil C4500</t>
        </is>
      </c>
      <c r="AP7" s="1">
        <f>REPLACE(Z7, 12, 0, " DN" &amp; E7)</f>
        <v/>
      </c>
      <c r="AQ7" s="1" t="inlineStr">
        <is>
          <t>CNAF</t>
        </is>
      </c>
      <c r="AW7" t="inlineStr">
        <is>
          <t>ce58bef9-94c8-4641-b3c9-4c8c5712efb3</t>
        </is>
      </c>
      <c r="BC7" t="inlineStr">
        <is>
          <t>2</t>
        </is>
      </c>
      <c r="BE7" t="inlineStr">
        <is>
          <t>Fasteners</t>
        </is>
      </c>
      <c r="BI7" t="inlineStr">
        <is>
          <t>Gasket</t>
        </is>
      </c>
    </row>
    <row r="8">
      <c r="B8" s="1" t="inlineStr">
        <is>
          <t>50</t>
        </is>
      </c>
      <c r="C8" s="1" t="inlineStr">
        <is>
          <t>CUST_GSK_RF_CL150</t>
        </is>
      </c>
      <c r="D8" s="1" t="inlineStr">
        <is>
          <t>C:\AutoCAD Plant 3D 2026 Content\CPak Common\CustomScripts\CUST_GSK_RF_CL150.py</t>
        </is>
      </c>
      <c r="E8" s="1" t="inlineStr">
        <is>
          <t>50</t>
        </is>
      </c>
      <c r="F8" s="8" t="n">
        <v>1.5</v>
      </c>
      <c r="G8" t="inlineStr">
        <is>
          <t>DN,T</t>
        </is>
      </c>
      <c r="H8" t="inlineStr">
        <is>
          <t>f6b2a446-2d70-4d55-8bef-751d5a7e4772</t>
        </is>
      </c>
      <c r="I8" s="77" t="inlineStr">
        <is>
          <t>ALL</t>
        </is>
      </c>
      <c r="J8" s="1" t="inlineStr">
        <is>
          <t>50</t>
        </is>
      </c>
      <c r="K8" s="1" t="inlineStr">
        <is>
          <t>mm</t>
        </is>
      </c>
      <c r="L8" s="1" t="inlineStr">
        <is>
          <t>60.32</t>
        </is>
      </c>
      <c r="M8" s="1" t="inlineStr">
        <is>
          <t>Undefined_ET</t>
        </is>
      </c>
      <c r="P8" s="1" t="inlineStr">
        <is>
          <t>RF</t>
        </is>
      </c>
      <c r="R8" s="1" t="inlineStr">
        <is>
          <t>150</t>
        </is>
      </c>
      <c r="T8" s="1" t="inlineStr">
        <is>
          <t>0</t>
        </is>
      </c>
      <c r="U8" s="1" t="inlineStr">
        <is>
          <t>0</t>
        </is>
      </c>
      <c r="V8" s="1" t="inlineStr">
        <is>
          <t>mm</t>
        </is>
      </c>
      <c r="AL8" s="1" t="inlineStr">
        <is>
          <t>GSK_RF_CL150</t>
        </is>
      </c>
      <c r="AO8" s="1" t="inlineStr">
        <is>
          <t>Gasket CNAF Ring-Type CL150 Klingersil C4500</t>
        </is>
      </c>
      <c r="AP8" s="1">
        <f>REPLACE(Z8, 12, 0, " DN" &amp; E8)</f>
        <v/>
      </c>
      <c r="AQ8" s="1" t="inlineStr">
        <is>
          <t>CNAF</t>
        </is>
      </c>
      <c r="AW8" t="inlineStr">
        <is>
          <t>ce58bef9-94c8-4641-b3c9-4c8c5712efb3</t>
        </is>
      </c>
      <c r="BC8" t="inlineStr">
        <is>
          <t>2</t>
        </is>
      </c>
      <c r="BE8" t="inlineStr">
        <is>
          <t>Fasteners</t>
        </is>
      </c>
      <c r="BI8" t="inlineStr">
        <is>
          <t>Gasket</t>
        </is>
      </c>
    </row>
    <row r="9">
      <c r="B9" s="1" t="inlineStr">
        <is>
          <t>65</t>
        </is>
      </c>
      <c r="C9" s="1" t="inlineStr">
        <is>
          <t>CUST_GSK_RF_CL150</t>
        </is>
      </c>
      <c r="D9" s="1" t="inlineStr">
        <is>
          <t>C:\AutoCAD Plant 3D 2026 Content\CPak Common\CustomScripts\CUST_GSK_RF_CL150.py</t>
        </is>
      </c>
      <c r="E9" s="1" t="inlineStr">
        <is>
          <t>65</t>
        </is>
      </c>
      <c r="F9" s="8" t="n">
        <v>1.5</v>
      </c>
      <c r="G9" t="inlineStr">
        <is>
          <t>DN,T</t>
        </is>
      </c>
      <c r="H9" t="inlineStr">
        <is>
          <t>41c2b47a-2b4c-4954-b4a8-473f265721c1</t>
        </is>
      </c>
      <c r="I9" s="77" t="inlineStr">
        <is>
          <t>ALL</t>
        </is>
      </c>
      <c r="J9" s="1" t="inlineStr">
        <is>
          <t>65</t>
        </is>
      </c>
      <c r="K9" s="1" t="inlineStr">
        <is>
          <t>mm</t>
        </is>
      </c>
      <c r="L9" s="1" t="inlineStr">
        <is>
          <t>73.03</t>
        </is>
      </c>
      <c r="M9" s="1" t="inlineStr">
        <is>
          <t>Undefined_ET</t>
        </is>
      </c>
      <c r="P9" s="1" t="inlineStr">
        <is>
          <t>RF</t>
        </is>
      </c>
      <c r="R9" s="1" t="inlineStr">
        <is>
          <t>150</t>
        </is>
      </c>
      <c r="T9" s="1" t="inlineStr">
        <is>
          <t>0</t>
        </is>
      </c>
      <c r="U9" s="1" t="inlineStr">
        <is>
          <t>0</t>
        </is>
      </c>
      <c r="V9" s="1" t="inlineStr">
        <is>
          <t>mm</t>
        </is>
      </c>
      <c r="AL9" s="1" t="inlineStr">
        <is>
          <t>GSK_RF_CL150</t>
        </is>
      </c>
      <c r="AO9" s="1" t="inlineStr">
        <is>
          <t>Gasket CNAF Ring-Type CL150 Klingersil C4500</t>
        </is>
      </c>
      <c r="AP9" s="1">
        <f>REPLACE(Z9, 12, 0, " DN" &amp; E9)</f>
        <v/>
      </c>
      <c r="AQ9" s="1" t="inlineStr">
        <is>
          <t>CNAF</t>
        </is>
      </c>
      <c r="AW9" t="inlineStr">
        <is>
          <t>ce58bef9-94c8-4641-b3c9-4c8c5712efb3</t>
        </is>
      </c>
      <c r="BC9" t="inlineStr">
        <is>
          <t>2</t>
        </is>
      </c>
      <c r="BE9" t="inlineStr">
        <is>
          <t>Fasteners</t>
        </is>
      </c>
      <c r="BI9" t="inlineStr">
        <is>
          <t>Gasket</t>
        </is>
      </c>
    </row>
    <row r="10">
      <c r="B10" s="1" t="inlineStr">
        <is>
          <t>80</t>
        </is>
      </c>
      <c r="C10" s="1" t="inlineStr">
        <is>
          <t>CUST_GSK_RF_CL150</t>
        </is>
      </c>
      <c r="D10" s="1" t="inlineStr">
        <is>
          <t>C:\AutoCAD Plant 3D 2026 Content\CPak Common\CustomScripts\CUST_GSK_RF_CL150.py</t>
        </is>
      </c>
      <c r="E10" s="1" t="inlineStr">
        <is>
          <t>80</t>
        </is>
      </c>
      <c r="F10" s="8" t="n">
        <v>1.5</v>
      </c>
      <c r="G10" t="inlineStr">
        <is>
          <t>DN,T</t>
        </is>
      </c>
      <c r="H10" t="inlineStr">
        <is>
          <t>ac3f76e2-4146-4435-8410-8c89a7de96bb</t>
        </is>
      </c>
      <c r="I10" s="77" t="inlineStr">
        <is>
          <t>ALL</t>
        </is>
      </c>
      <c r="J10" s="1" t="inlineStr">
        <is>
          <t>80</t>
        </is>
      </c>
      <c r="K10" s="1" t="inlineStr">
        <is>
          <t>mm</t>
        </is>
      </c>
      <c r="L10" s="1" t="inlineStr">
        <is>
          <t>88.9</t>
        </is>
      </c>
      <c r="M10" s="1" t="inlineStr">
        <is>
          <t>Undefined_ET</t>
        </is>
      </c>
      <c r="P10" s="1" t="inlineStr">
        <is>
          <t>RF</t>
        </is>
      </c>
      <c r="R10" s="1" t="inlineStr">
        <is>
          <t>150</t>
        </is>
      </c>
      <c r="T10" s="1" t="inlineStr">
        <is>
          <t>0</t>
        </is>
      </c>
      <c r="U10" s="1" t="inlineStr">
        <is>
          <t>0</t>
        </is>
      </c>
      <c r="V10" s="1" t="inlineStr">
        <is>
          <t>mm</t>
        </is>
      </c>
      <c r="AL10" s="1" t="inlineStr">
        <is>
          <t>GSK_RF_CL150</t>
        </is>
      </c>
      <c r="AO10" s="1" t="inlineStr">
        <is>
          <t>Gasket CNAF Ring-Type CL150 Klingersil C4500</t>
        </is>
      </c>
      <c r="AP10" s="1">
        <f>REPLACE(Z10, 12, 0, " DN" &amp; E10)</f>
        <v/>
      </c>
      <c r="AQ10" s="1" t="inlineStr">
        <is>
          <t>CNAF</t>
        </is>
      </c>
      <c r="AW10" t="inlineStr">
        <is>
          <t>ce58bef9-94c8-4641-b3c9-4c8c5712efb3</t>
        </is>
      </c>
      <c r="BC10" t="inlineStr">
        <is>
          <t>2</t>
        </is>
      </c>
      <c r="BE10" t="inlineStr">
        <is>
          <t>Fasteners</t>
        </is>
      </c>
      <c r="BI10" t="inlineStr">
        <is>
          <t>Gasket</t>
        </is>
      </c>
    </row>
    <row r="11">
      <c r="B11" s="1" t="inlineStr">
        <is>
          <t>90</t>
        </is>
      </c>
      <c r="C11" s="1" t="inlineStr">
        <is>
          <t>CUST_GSK_RF_CL150</t>
        </is>
      </c>
      <c r="D11" s="1" t="inlineStr">
        <is>
          <t>C:\AutoCAD Plant 3D 2026 Content\CPak Common\CustomScripts\CUST_GSK_RF_CL150.py</t>
        </is>
      </c>
      <c r="E11" s="1" t="inlineStr">
        <is>
          <t>90</t>
        </is>
      </c>
      <c r="F11" s="8" t="n">
        <v>1.5</v>
      </c>
      <c r="G11" t="inlineStr">
        <is>
          <t>DN,T</t>
        </is>
      </c>
      <c r="H11" t="inlineStr">
        <is>
          <t>40806ab0-898e-4125-9692-e2447f6e7600</t>
        </is>
      </c>
      <c r="I11" s="77" t="inlineStr">
        <is>
          <t>ALL</t>
        </is>
      </c>
      <c r="J11" s="1" t="inlineStr">
        <is>
          <t>90</t>
        </is>
      </c>
      <c r="K11" s="1" t="inlineStr">
        <is>
          <t>mm</t>
        </is>
      </c>
      <c r="L11" s="1" t="inlineStr">
        <is>
          <t>90</t>
        </is>
      </c>
      <c r="M11" s="1" t="inlineStr">
        <is>
          <t>Undefined_ET</t>
        </is>
      </c>
      <c r="P11" s="1" t="inlineStr">
        <is>
          <t>RF</t>
        </is>
      </c>
      <c r="R11" s="1" t="inlineStr">
        <is>
          <t>150</t>
        </is>
      </c>
      <c r="T11" s="1" t="inlineStr">
        <is>
          <t>0</t>
        </is>
      </c>
      <c r="U11" s="1" t="inlineStr">
        <is>
          <t>0</t>
        </is>
      </c>
      <c r="V11" s="1" t="inlineStr">
        <is>
          <t>mm</t>
        </is>
      </c>
      <c r="AL11" s="1" t="inlineStr">
        <is>
          <t>GSK_RF_CL150</t>
        </is>
      </c>
      <c r="AO11" s="1" t="inlineStr">
        <is>
          <t>Gasket CNAF Ring-Type CL150 Klingersil C4500</t>
        </is>
      </c>
      <c r="AP11" s="1">
        <f>REPLACE(Z11, 12, 0, " DN" &amp; E11)</f>
        <v/>
      </c>
      <c r="AQ11" s="1" t="inlineStr">
        <is>
          <t>CNAF</t>
        </is>
      </c>
      <c r="AW11" t="inlineStr">
        <is>
          <t>ce58bef9-94c8-4641-b3c9-4c8c5712efb3</t>
        </is>
      </c>
      <c r="BC11" t="inlineStr">
        <is>
          <t>2</t>
        </is>
      </c>
      <c r="BE11" t="inlineStr">
        <is>
          <t>Fasteners</t>
        </is>
      </c>
      <c r="BI11" t="inlineStr">
        <is>
          <t>Gasket</t>
        </is>
      </c>
    </row>
    <row r="12">
      <c r="B12" s="1" t="inlineStr">
        <is>
          <t>100</t>
        </is>
      </c>
      <c r="C12" s="1" t="inlineStr">
        <is>
          <t>CUST_GSK_RF_CL150</t>
        </is>
      </c>
      <c r="D12" s="1" t="inlineStr">
        <is>
          <t>C:\AutoCAD Plant 3D 2026 Content\CPak Common\CustomScripts\CUST_GSK_RF_CL150.py</t>
        </is>
      </c>
      <c r="E12" s="1" t="inlineStr">
        <is>
          <t>100</t>
        </is>
      </c>
      <c r="F12" s="8" t="n">
        <v>1.5</v>
      </c>
      <c r="G12" t="inlineStr">
        <is>
          <t>DN,T</t>
        </is>
      </c>
      <c r="H12" t="inlineStr">
        <is>
          <t>0b15114a-1f7b-46ea-929a-3cf5e6c71709</t>
        </is>
      </c>
      <c r="I12" s="77" t="inlineStr">
        <is>
          <t>ALL</t>
        </is>
      </c>
      <c r="J12" s="1" t="inlineStr">
        <is>
          <t>100</t>
        </is>
      </c>
      <c r="K12" s="1" t="inlineStr">
        <is>
          <t>mm</t>
        </is>
      </c>
      <c r="L12" s="1" t="inlineStr">
        <is>
          <t>114.3</t>
        </is>
      </c>
      <c r="M12" s="1" t="inlineStr">
        <is>
          <t>Undefined_ET</t>
        </is>
      </c>
      <c r="P12" s="1" t="inlineStr">
        <is>
          <t>RF</t>
        </is>
      </c>
      <c r="R12" s="1" t="inlineStr">
        <is>
          <t>150</t>
        </is>
      </c>
      <c r="T12" s="1" t="inlineStr">
        <is>
          <t>0</t>
        </is>
      </c>
      <c r="U12" s="1" t="inlineStr">
        <is>
          <t>0</t>
        </is>
      </c>
      <c r="V12" s="1" t="inlineStr">
        <is>
          <t>mm</t>
        </is>
      </c>
      <c r="AL12" s="1" t="inlineStr">
        <is>
          <t>GSK_RF_CL150</t>
        </is>
      </c>
      <c r="AO12" s="1" t="inlineStr">
        <is>
          <t>Gasket CNAF Ring-Type CL150 Klingersil C4500</t>
        </is>
      </c>
      <c r="AP12" s="1">
        <f>REPLACE(Z12, 12, 0, " DN" &amp; E12)</f>
        <v/>
      </c>
      <c r="AQ12" s="1" t="inlineStr">
        <is>
          <t>CNAF</t>
        </is>
      </c>
      <c r="AW12" t="inlineStr">
        <is>
          <t>ce58bef9-94c8-4641-b3c9-4c8c5712efb3</t>
        </is>
      </c>
      <c r="BC12" t="inlineStr">
        <is>
          <t>2</t>
        </is>
      </c>
      <c r="BE12" t="inlineStr">
        <is>
          <t>Fasteners</t>
        </is>
      </c>
      <c r="BI12" t="inlineStr">
        <is>
          <t>Gasket</t>
        </is>
      </c>
    </row>
    <row r="13">
      <c r="B13" s="1" t="inlineStr">
        <is>
          <t>125</t>
        </is>
      </c>
      <c r="C13" s="1" t="inlineStr">
        <is>
          <t>CUST_GSK_RF_CL150</t>
        </is>
      </c>
      <c r="D13" s="1" t="inlineStr">
        <is>
          <t>C:\AutoCAD Plant 3D 2026 Content\CPak Common\CustomScripts\CUST_GSK_RF_CL150.py</t>
        </is>
      </c>
      <c r="E13" s="1" t="inlineStr">
        <is>
          <t>125</t>
        </is>
      </c>
      <c r="F13" s="8" t="n">
        <v>1.5</v>
      </c>
      <c r="G13" t="inlineStr">
        <is>
          <t>DN,T</t>
        </is>
      </c>
      <c r="H13" t="inlineStr">
        <is>
          <t>0ebd04fc-5fe8-4f04-ada9-ff7bf73ab864</t>
        </is>
      </c>
      <c r="I13" s="77" t="inlineStr">
        <is>
          <t>ALL</t>
        </is>
      </c>
      <c r="J13" s="1" t="inlineStr">
        <is>
          <t>125</t>
        </is>
      </c>
      <c r="K13" s="1" t="inlineStr">
        <is>
          <t>mm</t>
        </is>
      </c>
      <c r="L13" s="1" t="inlineStr">
        <is>
          <t>125</t>
        </is>
      </c>
      <c r="M13" s="1" t="inlineStr">
        <is>
          <t>Undefined_ET</t>
        </is>
      </c>
      <c r="P13" s="1" t="inlineStr">
        <is>
          <t>RF</t>
        </is>
      </c>
      <c r="R13" s="1" t="inlineStr">
        <is>
          <t>150</t>
        </is>
      </c>
      <c r="T13" s="1" t="inlineStr">
        <is>
          <t>0</t>
        </is>
      </c>
      <c r="U13" s="1" t="inlineStr">
        <is>
          <t>0</t>
        </is>
      </c>
      <c r="V13" s="1" t="inlineStr">
        <is>
          <t>mm</t>
        </is>
      </c>
      <c r="AL13" s="1" t="inlineStr">
        <is>
          <t>GSK_RF_CL150</t>
        </is>
      </c>
      <c r="AO13" s="1" t="inlineStr">
        <is>
          <t>Gasket CNAF Ring-Type CL150 Klingersil C4500</t>
        </is>
      </c>
      <c r="AP13" s="1">
        <f>REPLACE(Z13, 12, 0, " DN" &amp; E13)</f>
        <v/>
      </c>
      <c r="AQ13" s="1" t="inlineStr">
        <is>
          <t>CNAF</t>
        </is>
      </c>
      <c r="AW13" t="inlineStr">
        <is>
          <t>ce58bef9-94c8-4641-b3c9-4c8c5712efb3</t>
        </is>
      </c>
      <c r="BC13" t="inlineStr">
        <is>
          <t>2</t>
        </is>
      </c>
      <c r="BE13" t="inlineStr">
        <is>
          <t>Fasteners</t>
        </is>
      </c>
      <c r="BI13" t="inlineStr">
        <is>
          <t>Gasket</t>
        </is>
      </c>
    </row>
    <row r="14">
      <c r="B14" s="1" t="inlineStr">
        <is>
          <t>150</t>
        </is>
      </c>
      <c r="C14" s="1" t="inlineStr">
        <is>
          <t>CUST_GSK_RF_CL150</t>
        </is>
      </c>
      <c r="D14" s="1" t="inlineStr">
        <is>
          <t>C:\AutoCAD Plant 3D 2026 Content\CPak Common\CustomScripts\CUST_GSK_RF_CL150.py</t>
        </is>
      </c>
      <c r="E14" s="1" t="inlineStr">
        <is>
          <t>150</t>
        </is>
      </c>
      <c r="F14" s="8" t="n">
        <v>1.5</v>
      </c>
      <c r="G14" t="inlineStr">
        <is>
          <t>DN,T</t>
        </is>
      </c>
      <c r="H14" t="inlineStr">
        <is>
          <t>8fe73209-04fd-4e98-89f4-92cff664bd9e</t>
        </is>
      </c>
      <c r="I14" s="77" t="inlineStr">
        <is>
          <t>ALL</t>
        </is>
      </c>
      <c r="J14" s="1" t="inlineStr">
        <is>
          <t>150</t>
        </is>
      </c>
      <c r="K14" s="1" t="inlineStr">
        <is>
          <t>mm</t>
        </is>
      </c>
      <c r="L14" s="1" t="inlineStr">
        <is>
          <t>168.3</t>
        </is>
      </c>
      <c r="M14" s="1" t="inlineStr">
        <is>
          <t>Undefined_ET</t>
        </is>
      </c>
      <c r="P14" s="1" t="inlineStr">
        <is>
          <t>RF</t>
        </is>
      </c>
      <c r="R14" s="1" t="inlineStr">
        <is>
          <t>150</t>
        </is>
      </c>
      <c r="T14" s="1" t="inlineStr">
        <is>
          <t>0</t>
        </is>
      </c>
      <c r="U14" s="1" t="inlineStr">
        <is>
          <t>0</t>
        </is>
      </c>
      <c r="V14" s="1" t="inlineStr">
        <is>
          <t>mm</t>
        </is>
      </c>
      <c r="AL14" s="1" t="inlineStr">
        <is>
          <t>GSK_RF_CL150</t>
        </is>
      </c>
      <c r="AO14" s="1" t="inlineStr">
        <is>
          <t>Gasket CNAF Ring-Type CL150 Klingersil C4500</t>
        </is>
      </c>
      <c r="AP14" s="1">
        <f>REPLACE(Z14, 12, 0, " DN" &amp; E14)</f>
        <v/>
      </c>
      <c r="AQ14" s="1" t="inlineStr">
        <is>
          <t>CNAF</t>
        </is>
      </c>
      <c r="AW14" t="inlineStr">
        <is>
          <t>ce58bef9-94c8-4641-b3c9-4c8c5712efb3</t>
        </is>
      </c>
      <c r="BC14" t="inlineStr">
        <is>
          <t>2</t>
        </is>
      </c>
      <c r="BE14" t="inlineStr">
        <is>
          <t>Fasteners</t>
        </is>
      </c>
      <c r="BI14" t="inlineStr">
        <is>
          <t>Gasket</t>
        </is>
      </c>
    </row>
    <row r="15">
      <c r="B15" s="1" t="inlineStr">
        <is>
          <t>200</t>
        </is>
      </c>
      <c r="C15" s="1" t="inlineStr">
        <is>
          <t>CUST_GSK_RF_CL150</t>
        </is>
      </c>
      <c r="D15" s="1" t="inlineStr">
        <is>
          <t>C:\AutoCAD Plant 3D 2026 Content\CPak Common\CustomScripts\CUST_GSK_RF_CL150.py</t>
        </is>
      </c>
      <c r="E15" s="1" t="inlineStr">
        <is>
          <t>200</t>
        </is>
      </c>
      <c r="F15" s="8" t="n">
        <v>1.5</v>
      </c>
      <c r="G15" t="inlineStr">
        <is>
          <t>DN,T</t>
        </is>
      </c>
      <c r="H15" t="inlineStr">
        <is>
          <t>8b75d604-9be2-41f0-882c-fbeb07b054a0</t>
        </is>
      </c>
      <c r="I15" s="77" t="inlineStr">
        <is>
          <t>ALL</t>
        </is>
      </c>
      <c r="J15" s="1" t="inlineStr">
        <is>
          <t>200</t>
        </is>
      </c>
      <c r="K15" s="1" t="inlineStr">
        <is>
          <t>mm</t>
        </is>
      </c>
      <c r="L15" s="1" t="inlineStr">
        <is>
          <t>219.1</t>
        </is>
      </c>
      <c r="M15" s="1" t="inlineStr">
        <is>
          <t>Undefined_ET</t>
        </is>
      </c>
      <c r="P15" s="1" t="inlineStr">
        <is>
          <t>RF</t>
        </is>
      </c>
      <c r="R15" s="1" t="inlineStr">
        <is>
          <t>150</t>
        </is>
      </c>
      <c r="T15" s="1" t="inlineStr">
        <is>
          <t>0</t>
        </is>
      </c>
      <c r="U15" s="1" t="inlineStr">
        <is>
          <t>0</t>
        </is>
      </c>
      <c r="V15" s="1" t="inlineStr">
        <is>
          <t>mm</t>
        </is>
      </c>
      <c r="AL15" s="1" t="inlineStr">
        <is>
          <t>GSK_RF_CL150</t>
        </is>
      </c>
      <c r="AO15" s="1" t="inlineStr">
        <is>
          <t>Gasket CNAF Ring-Type CL150 Klingersil C4500</t>
        </is>
      </c>
      <c r="AP15" s="1">
        <f>REPLACE(Z15, 12, 0, " DN" &amp; E15)</f>
        <v/>
      </c>
      <c r="AQ15" s="1" t="inlineStr">
        <is>
          <t>CNAF</t>
        </is>
      </c>
      <c r="AW15" t="inlineStr">
        <is>
          <t>ce58bef9-94c8-4641-b3c9-4c8c5712efb3</t>
        </is>
      </c>
      <c r="BC15" t="inlineStr">
        <is>
          <t>2</t>
        </is>
      </c>
      <c r="BE15" t="inlineStr">
        <is>
          <t>Fasteners</t>
        </is>
      </c>
      <c r="BI15" t="inlineStr">
        <is>
          <t>Gasket</t>
        </is>
      </c>
    </row>
    <row r="16">
      <c r="B16" s="1" t="inlineStr">
        <is>
          <t>250</t>
        </is>
      </c>
      <c r="C16" s="1" t="inlineStr">
        <is>
          <t>CUST_GSK_RF_CL150</t>
        </is>
      </c>
      <c r="D16" s="1" t="inlineStr">
        <is>
          <t>C:\AutoCAD Plant 3D 2026 Content\CPak Common\CustomScripts\CUST_GSK_RF_CL150.py</t>
        </is>
      </c>
      <c r="E16" s="1" t="inlineStr">
        <is>
          <t>250</t>
        </is>
      </c>
      <c r="F16" s="8" t="n">
        <v>1.5</v>
      </c>
      <c r="G16" t="inlineStr">
        <is>
          <t>DN,T</t>
        </is>
      </c>
      <c r="H16" t="inlineStr">
        <is>
          <t>26227f05-19e8-49af-a3d6-db3d894df695</t>
        </is>
      </c>
      <c r="I16" s="77" t="inlineStr">
        <is>
          <t>ALL</t>
        </is>
      </c>
      <c r="J16" s="1" t="inlineStr">
        <is>
          <t>250</t>
        </is>
      </c>
      <c r="K16" s="1" t="inlineStr">
        <is>
          <t>mm</t>
        </is>
      </c>
      <c r="L16" s="1" t="inlineStr">
        <is>
          <t>273.1</t>
        </is>
      </c>
      <c r="M16" s="1" t="inlineStr">
        <is>
          <t>Undefined_ET</t>
        </is>
      </c>
      <c r="P16" s="1" t="inlineStr">
        <is>
          <t>RF</t>
        </is>
      </c>
      <c r="R16" s="1" t="inlineStr">
        <is>
          <t>150</t>
        </is>
      </c>
      <c r="T16" s="1" t="inlineStr">
        <is>
          <t>0</t>
        </is>
      </c>
      <c r="U16" s="1" t="inlineStr">
        <is>
          <t>0</t>
        </is>
      </c>
      <c r="V16" s="1" t="inlineStr">
        <is>
          <t>mm</t>
        </is>
      </c>
      <c r="AL16" s="1" t="inlineStr">
        <is>
          <t>GSK_RF_CL150</t>
        </is>
      </c>
      <c r="AO16" s="1" t="inlineStr">
        <is>
          <t>Gasket CNAF Ring-Type CL150 Klingersil C4500</t>
        </is>
      </c>
      <c r="AP16" s="1">
        <f>REPLACE(Z16, 12, 0, " DN" &amp; E16)</f>
        <v/>
      </c>
      <c r="AQ16" s="1" t="inlineStr">
        <is>
          <t>CNAF</t>
        </is>
      </c>
      <c r="AW16" t="inlineStr">
        <is>
          <t>ce58bef9-94c8-4641-b3c9-4c8c5712efb3</t>
        </is>
      </c>
      <c r="BC16" t="inlineStr">
        <is>
          <t>2</t>
        </is>
      </c>
      <c r="BE16" t="inlineStr">
        <is>
          <t>Fasteners</t>
        </is>
      </c>
      <c r="BI16" t="inlineStr">
        <is>
          <t>Gasket</t>
        </is>
      </c>
    </row>
    <row r="17">
      <c r="B17" s="1" t="inlineStr">
        <is>
          <t>300</t>
        </is>
      </c>
      <c r="C17" s="1" t="inlineStr">
        <is>
          <t>CUST_GSK_RF_CL150</t>
        </is>
      </c>
      <c r="D17" s="1" t="inlineStr">
        <is>
          <t>C:\AutoCAD Plant 3D 2026 Content\CPak Common\CustomScripts\CUST_GSK_RF_CL150.py</t>
        </is>
      </c>
      <c r="E17" s="1" t="inlineStr">
        <is>
          <t>300</t>
        </is>
      </c>
      <c r="F17" s="8" t="n">
        <v>1.5</v>
      </c>
      <c r="G17" t="inlineStr">
        <is>
          <t>DN,T</t>
        </is>
      </c>
      <c r="H17" t="inlineStr">
        <is>
          <t>a14d7064-724c-4119-80e6-b051fd56de69</t>
        </is>
      </c>
      <c r="I17" s="77" t="inlineStr">
        <is>
          <t>ALL</t>
        </is>
      </c>
      <c r="J17" s="1" t="inlineStr">
        <is>
          <t>300</t>
        </is>
      </c>
      <c r="K17" s="1" t="inlineStr">
        <is>
          <t>mm</t>
        </is>
      </c>
      <c r="L17" s="1" t="inlineStr">
        <is>
          <t>323.9</t>
        </is>
      </c>
      <c r="M17" s="1" t="inlineStr">
        <is>
          <t>Undefined_ET</t>
        </is>
      </c>
      <c r="P17" s="1" t="inlineStr">
        <is>
          <t>RF</t>
        </is>
      </c>
      <c r="R17" s="1" t="inlineStr">
        <is>
          <t>150</t>
        </is>
      </c>
      <c r="T17" s="1" t="inlineStr">
        <is>
          <t>0</t>
        </is>
      </c>
      <c r="U17" s="1" t="inlineStr">
        <is>
          <t>0</t>
        </is>
      </c>
      <c r="V17" s="1" t="inlineStr">
        <is>
          <t>mm</t>
        </is>
      </c>
      <c r="AL17" s="1" t="inlineStr">
        <is>
          <t>GSK_RF_CL150</t>
        </is>
      </c>
      <c r="AO17" s="1" t="inlineStr">
        <is>
          <t>Gasket CNAF Ring-Type CL150 Klingersil C4500</t>
        </is>
      </c>
      <c r="AP17" s="1">
        <f>REPLACE(Z17, 12, 0, " DN" &amp; E17)</f>
        <v/>
      </c>
      <c r="AQ17" s="1" t="inlineStr">
        <is>
          <t>CNAF</t>
        </is>
      </c>
      <c r="AW17" t="inlineStr">
        <is>
          <t>ce58bef9-94c8-4641-b3c9-4c8c5712efb3</t>
        </is>
      </c>
      <c r="BC17" t="inlineStr">
        <is>
          <t>2</t>
        </is>
      </c>
      <c r="BE17" t="inlineStr">
        <is>
          <t>Fasteners</t>
        </is>
      </c>
      <c r="BI17" t="inlineStr">
        <is>
          <t>Gasket</t>
        </is>
      </c>
    </row>
    <row r="18">
      <c r="B18" s="1" t="inlineStr">
        <is>
          <t>350</t>
        </is>
      </c>
      <c r="C18" s="1" t="inlineStr">
        <is>
          <t>CUST_GSK_RF_CL150</t>
        </is>
      </c>
      <c r="D18" s="1" t="inlineStr">
        <is>
          <t>C:\AutoCAD Plant 3D 2026 Content\CPak Common\CustomScripts\CUST_GSK_RF_CL150.py</t>
        </is>
      </c>
      <c r="E18" s="1" t="inlineStr">
        <is>
          <t>350</t>
        </is>
      </c>
      <c r="F18" s="8" t="n">
        <v>1.5</v>
      </c>
      <c r="G18" t="inlineStr">
        <is>
          <t>DN,T</t>
        </is>
      </c>
      <c r="H18" t="inlineStr">
        <is>
          <t>c39bf183-001d-4bd2-a524-6db7e54fc0c8</t>
        </is>
      </c>
      <c r="I18" s="77" t="inlineStr">
        <is>
          <t>ALL</t>
        </is>
      </c>
      <c r="J18" s="1" t="inlineStr">
        <is>
          <t>350</t>
        </is>
      </c>
      <c r="K18" s="1" t="inlineStr">
        <is>
          <t>mm</t>
        </is>
      </c>
      <c r="L18" s="1" t="inlineStr">
        <is>
          <t>355.6</t>
        </is>
      </c>
      <c r="M18" s="1" t="inlineStr">
        <is>
          <t>Undefined_ET</t>
        </is>
      </c>
      <c r="P18" s="1" t="inlineStr">
        <is>
          <t>RF</t>
        </is>
      </c>
      <c r="R18" s="1" t="inlineStr">
        <is>
          <t>150</t>
        </is>
      </c>
      <c r="T18" s="1" t="inlineStr">
        <is>
          <t>0</t>
        </is>
      </c>
      <c r="U18" s="1" t="inlineStr">
        <is>
          <t>0</t>
        </is>
      </c>
      <c r="V18" s="1" t="inlineStr">
        <is>
          <t>mm</t>
        </is>
      </c>
      <c r="AL18" s="1" t="inlineStr">
        <is>
          <t>GSK_RF_CL150</t>
        </is>
      </c>
      <c r="AO18" s="1" t="inlineStr">
        <is>
          <t>Gasket CNAF Ring-Type CL150 Klingersil C4500</t>
        </is>
      </c>
      <c r="AP18" s="1">
        <f>REPLACE(Z18, 12, 0, " DN" &amp; E18)</f>
        <v/>
      </c>
      <c r="AQ18" s="1" t="inlineStr">
        <is>
          <t>CNAF</t>
        </is>
      </c>
      <c r="AW18" t="inlineStr">
        <is>
          <t>ce58bef9-94c8-4641-b3c9-4c8c5712efb3</t>
        </is>
      </c>
      <c r="BC18" t="inlineStr">
        <is>
          <t>2</t>
        </is>
      </c>
      <c r="BE18" t="inlineStr">
        <is>
          <t>Fasteners</t>
        </is>
      </c>
      <c r="BI18" t="inlineStr">
        <is>
          <t>Gasket</t>
        </is>
      </c>
    </row>
    <row r="19">
      <c r="B19" s="1" t="inlineStr">
        <is>
          <t>400</t>
        </is>
      </c>
      <c r="C19" s="1" t="inlineStr">
        <is>
          <t>CUST_GSK_RF_CL150</t>
        </is>
      </c>
      <c r="D19" s="1" t="inlineStr">
        <is>
          <t>C:\AutoCAD Plant 3D 2026 Content\CPak Common\CustomScripts\CUST_GSK_RF_CL150.py</t>
        </is>
      </c>
      <c r="E19" s="1" t="inlineStr">
        <is>
          <t>400</t>
        </is>
      </c>
      <c r="F19" s="8" t="n">
        <v>1.5</v>
      </c>
      <c r="G19" t="inlineStr">
        <is>
          <t>DN,T</t>
        </is>
      </c>
      <c r="H19" t="inlineStr">
        <is>
          <t>cd94654b-3d00-4595-bfb9-9cfced3e31cb</t>
        </is>
      </c>
      <c r="I19" s="77" t="inlineStr">
        <is>
          <t>ALL</t>
        </is>
      </c>
      <c r="J19" s="1" t="inlineStr">
        <is>
          <t>400</t>
        </is>
      </c>
      <c r="K19" s="1" t="inlineStr">
        <is>
          <t>mm</t>
        </is>
      </c>
      <c r="L19" s="1" t="inlineStr">
        <is>
          <t>406.4</t>
        </is>
      </c>
      <c r="M19" s="1" t="inlineStr">
        <is>
          <t>Undefined_ET</t>
        </is>
      </c>
      <c r="P19" s="1" t="inlineStr">
        <is>
          <t>RF</t>
        </is>
      </c>
      <c r="R19" s="1" t="inlineStr">
        <is>
          <t>150</t>
        </is>
      </c>
      <c r="T19" s="1" t="inlineStr">
        <is>
          <t>0</t>
        </is>
      </c>
      <c r="U19" s="1" t="inlineStr">
        <is>
          <t>0</t>
        </is>
      </c>
      <c r="V19" s="1" t="inlineStr">
        <is>
          <t>mm</t>
        </is>
      </c>
      <c r="AL19" s="1" t="inlineStr">
        <is>
          <t>GSK_RF_CL150</t>
        </is>
      </c>
      <c r="AO19" s="1" t="inlineStr">
        <is>
          <t>Gasket CNAF Ring-Type CL150 Klingersil C4500</t>
        </is>
      </c>
      <c r="AP19" s="1">
        <f>REPLACE(Z19, 12, 0, " DN" &amp; E19)</f>
        <v/>
      </c>
      <c r="AQ19" s="1" t="inlineStr">
        <is>
          <t>CNAF</t>
        </is>
      </c>
      <c r="AW19" t="inlineStr">
        <is>
          <t>ce58bef9-94c8-4641-b3c9-4c8c5712efb3</t>
        </is>
      </c>
      <c r="BC19" t="inlineStr">
        <is>
          <t>2</t>
        </is>
      </c>
      <c r="BE19" t="inlineStr">
        <is>
          <t>Fasteners</t>
        </is>
      </c>
      <c r="BI19" t="inlineStr">
        <is>
          <t>Gasket</t>
        </is>
      </c>
    </row>
    <row r="20">
      <c r="B20" s="1" t="inlineStr">
        <is>
          <t>450</t>
        </is>
      </c>
      <c r="C20" s="1" t="inlineStr">
        <is>
          <t>CUST_GSK_RF_CL150</t>
        </is>
      </c>
      <c r="D20" s="1" t="inlineStr">
        <is>
          <t>C:\AutoCAD Plant 3D 2026 Content\CPak Common\CustomScripts\CUST_GSK_RF_CL150.py</t>
        </is>
      </c>
      <c r="E20" s="1" t="inlineStr">
        <is>
          <t>450</t>
        </is>
      </c>
      <c r="F20" s="8" t="n">
        <v>1.5</v>
      </c>
      <c r="G20" t="inlineStr">
        <is>
          <t>DN,T</t>
        </is>
      </c>
      <c r="H20" t="inlineStr">
        <is>
          <t>543a4fa6-dfe2-4a89-8814-24af04473321</t>
        </is>
      </c>
      <c r="I20" s="77" t="inlineStr">
        <is>
          <t>ALL</t>
        </is>
      </c>
      <c r="J20" s="1" t="inlineStr">
        <is>
          <t>450</t>
        </is>
      </c>
      <c r="K20" s="1" t="inlineStr">
        <is>
          <t>mm</t>
        </is>
      </c>
      <c r="L20" s="1" t="inlineStr">
        <is>
          <t>457.2</t>
        </is>
      </c>
      <c r="M20" s="1" t="inlineStr">
        <is>
          <t>Undefined_ET</t>
        </is>
      </c>
      <c r="P20" s="1" t="inlineStr">
        <is>
          <t>RF</t>
        </is>
      </c>
      <c r="R20" s="1" t="inlineStr">
        <is>
          <t>150</t>
        </is>
      </c>
      <c r="T20" s="1" t="inlineStr">
        <is>
          <t>0</t>
        </is>
      </c>
      <c r="U20" s="1" t="inlineStr">
        <is>
          <t>0</t>
        </is>
      </c>
      <c r="V20" s="1" t="inlineStr">
        <is>
          <t>mm</t>
        </is>
      </c>
      <c r="AL20" s="1" t="inlineStr">
        <is>
          <t>GSK_RF_CL150</t>
        </is>
      </c>
      <c r="AO20" s="1" t="inlineStr">
        <is>
          <t>Gasket CNAF Ring-Type CL150 Klingersil C4500</t>
        </is>
      </c>
      <c r="AP20" s="1">
        <f>REPLACE(Z20, 12, 0, " DN" &amp; E20)</f>
        <v/>
      </c>
      <c r="AQ20" s="1" t="inlineStr">
        <is>
          <t>CNAF</t>
        </is>
      </c>
      <c r="AW20" t="inlineStr">
        <is>
          <t>ce58bef9-94c8-4641-b3c9-4c8c5712efb3</t>
        </is>
      </c>
      <c r="BC20" t="inlineStr">
        <is>
          <t>2</t>
        </is>
      </c>
      <c r="BE20" t="inlineStr">
        <is>
          <t>Fasteners</t>
        </is>
      </c>
      <c r="BI20" t="inlineStr">
        <is>
          <t>Gasket</t>
        </is>
      </c>
    </row>
  </sheetData>
  <dataValidations count="2">
    <dataValidation sqref="AE3:AE20" showDropDown="0" showInputMessage="1" showErrorMessage="1" allowBlank="1" errorTitle="" error="" promptTitle="" prompt="" type="list" errorStyle="stop" operator="between">
      <formula1>"LB,KG"</formula1>
    </dataValidation>
    <dataValidation sqref="J3:J20 L3:L20 Q3:Q20 T3:U20 AD3:AD20 AJ3:AJ20 AN3:AN20" showDropDown="0" showInputMessage="1" showErrorMessage="1" allowBlank="1" errorTitle="" error="" promptTitle="" prompt="" type="decimal" errorStyle="stop" operator="between">
      <formula1>-5</formula1>
      <formula2>100000</formula2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39196" defaultRowHeight="15"/>
  <sheetData/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P24"/>
  <sheetViews>
    <sheetView workbookViewId="0">
      <selection activeCell="A1" sqref="A1"/>
    </sheetView>
  </sheetViews>
  <sheetFormatPr baseColWidth="8" defaultColWidth="9.139196" defaultRowHeight="15"/>
  <sheetData>
    <row r="1">
      <c r="A1" s="16" t="inlineStr">
        <is>
          <t>STUBEND_LJ_A_SH_BW_SCH40,FL,40</t>
        </is>
      </c>
      <c r="B1" s="16" t="inlineStr">
        <is>
          <t>Sizes</t>
        </is>
      </c>
      <c r="C1" s="16" t="inlineStr">
        <is>
          <t>ShapeName</t>
        </is>
      </c>
      <c r="D1" t="inlineStr">
        <is>
          <t>ScriptPath</t>
        </is>
      </c>
      <c r="E1" t="inlineStr">
        <is>
          <t>DN</t>
        </is>
      </c>
      <c r="F1" s="16" t="inlineStr">
        <is>
          <t>L</t>
        </is>
      </c>
      <c r="G1" s="16" t="inlineStr">
        <is>
          <t>B</t>
        </is>
      </c>
      <c r="H1" s="16" t="inlineStr">
        <is>
          <t>D1</t>
        </is>
      </c>
      <c r="I1" s="16" t="inlineStr">
        <is>
          <t>D2</t>
        </is>
      </c>
      <c r="J1" s="16" t="inlineStr">
        <is>
          <t>OF</t>
        </is>
      </c>
      <c r="K1" s="17" t="inlineStr">
        <is>
          <t>ContentGeometryParamDefinition</t>
        </is>
      </c>
      <c r="L1" s="17" t="inlineStr">
        <is>
          <t>SizeRecordId_S1</t>
        </is>
      </c>
      <c r="M1" s="79" t="inlineStr">
        <is>
          <t>PortName_S1</t>
        </is>
      </c>
      <c r="N1" s="16" t="inlineStr">
        <is>
          <t>NominalDiameter_S1</t>
        </is>
      </c>
      <c r="O1" s="16" t="inlineStr">
        <is>
          <t>NominalUnit_S1</t>
        </is>
      </c>
      <c r="P1" s="16" t="inlineStr">
        <is>
          <t>MatchingPipeOd_S1</t>
        </is>
      </c>
      <c r="Q1" s="16" t="inlineStr">
        <is>
          <t>EndType_S1</t>
        </is>
      </c>
      <c r="R1" s="16" t="inlineStr">
        <is>
          <t>FlangeStd_S1</t>
        </is>
      </c>
      <c r="S1" s="16" t="inlineStr">
        <is>
          <t>GasketStd_S1</t>
        </is>
      </c>
      <c r="T1" s="16" t="inlineStr">
        <is>
          <t>Facing_S1</t>
        </is>
      </c>
      <c r="U1" s="16" t="inlineStr">
        <is>
          <t>FlangeThickness_S1</t>
        </is>
      </c>
      <c r="V1" s="16" t="inlineStr">
        <is>
          <t>PressureClass_S1</t>
        </is>
      </c>
      <c r="W1" s="16" t="inlineStr">
        <is>
          <t>Schedule_S1</t>
        </is>
      </c>
      <c r="X1" s="16" t="inlineStr">
        <is>
          <t>WallThickness_S1</t>
        </is>
      </c>
      <c r="Y1" s="16" t="inlineStr">
        <is>
          <t>EngagementLength_S1</t>
        </is>
      </c>
      <c r="Z1" s="16" t="inlineStr">
        <is>
          <t>LengthUnit_S1</t>
        </is>
      </c>
      <c r="AA1" s="17" t="inlineStr">
        <is>
          <t>SizeRecordId_S2</t>
        </is>
      </c>
      <c r="AB1" s="79" t="inlineStr">
        <is>
          <t>PortName_S2</t>
        </is>
      </c>
      <c r="AC1" s="16" t="inlineStr">
        <is>
          <t>NominalDiameter_S2</t>
        </is>
      </c>
      <c r="AD1" s="16" t="inlineStr">
        <is>
          <t>NominalUnit_S2</t>
        </is>
      </c>
      <c r="AE1" s="16" t="inlineStr">
        <is>
          <t>MatchingPipeOd_S2</t>
        </is>
      </c>
      <c r="AF1" s="16" t="inlineStr">
        <is>
          <t>EndType_S2</t>
        </is>
      </c>
      <c r="AG1" s="16" t="inlineStr">
        <is>
          <t>FlangeStd_S2</t>
        </is>
      </c>
      <c r="AH1" s="16" t="inlineStr">
        <is>
          <t>GasketStd_S2</t>
        </is>
      </c>
      <c r="AI1" s="16" t="inlineStr">
        <is>
          <t>Facing_S2</t>
        </is>
      </c>
      <c r="AJ1" s="16" t="inlineStr">
        <is>
          <t>FlangeThickness_S2</t>
        </is>
      </c>
      <c r="AK1" s="16" t="inlineStr">
        <is>
          <t>PressureClass_S2</t>
        </is>
      </c>
      <c r="AL1" s="16" t="inlineStr">
        <is>
          <t>Schedule_S2</t>
        </is>
      </c>
      <c r="AM1" s="16" t="inlineStr">
        <is>
          <t>WallThickness_S2</t>
        </is>
      </c>
      <c r="AN1" s="16" t="inlineStr">
        <is>
          <t>EngagementLength_S2</t>
        </is>
      </c>
      <c r="AO1" s="16" t="inlineStr">
        <is>
          <t>LengthUnit_S2</t>
        </is>
      </c>
      <c r="AP1" s="16" t="inlineStr">
        <is>
          <t>ShortDescription</t>
        </is>
      </c>
      <c r="AQ1" s="16" t="inlineStr">
        <is>
          <t>CompatibleStandard</t>
        </is>
      </c>
      <c r="AR1" s="16" t="inlineStr">
        <is>
          <t>DesignStd</t>
        </is>
      </c>
      <c r="AS1" s="16" t="inlineStr">
        <is>
          <t>PartFamilyLongDesc</t>
        </is>
      </c>
      <c r="AT1" s="16" t="inlineStr">
        <is>
          <t>PartSizeLongDesc</t>
        </is>
      </c>
      <c r="AU1" s="16" t="inlineStr">
        <is>
          <t>Material</t>
        </is>
      </c>
      <c r="AV1" s="16" t="inlineStr">
        <is>
          <t>MaterialCode</t>
        </is>
      </c>
      <c r="AW1" s="16" t="inlineStr">
        <is>
          <t>Weight</t>
        </is>
      </c>
      <c r="AX1" s="16" t="inlineStr">
        <is>
          <t>WeightUnit</t>
        </is>
      </c>
      <c r="AY1" s="16" t="inlineStr">
        <is>
          <t>SKEY</t>
        </is>
      </c>
      <c r="AZ1" s="16" t="inlineStr">
        <is>
          <t>TYPE</t>
        </is>
      </c>
      <c r="BA1" s="17" t="inlineStr">
        <is>
          <t>PartFamilyId</t>
        </is>
      </c>
      <c r="BB1" s="17" t="inlineStr">
        <is>
          <t>CatalogPartFamilyId</t>
        </is>
      </c>
      <c r="BC1" s="17" t="inlineStr">
        <is>
          <t>PartStatus</t>
        </is>
      </c>
      <c r="BD1" s="16" t="inlineStr">
        <is>
          <t>Manufacturer</t>
        </is>
      </c>
      <c r="BE1" s="16" t="inlineStr">
        <is>
          <t>ItemCode</t>
        </is>
      </c>
      <c r="BF1" s="16" t="inlineStr">
        <is>
          <t>DesignPressureFactor</t>
        </is>
      </c>
      <c r="BG1" s="17" t="inlineStr">
        <is>
          <t>ConnectionPortCount</t>
        </is>
      </c>
      <c r="BH1" s="16" t="inlineStr">
        <is>
          <t>ComponentDesignation</t>
        </is>
      </c>
      <c r="BI1" s="17" t="inlineStr">
        <is>
          <t>PartCategory</t>
        </is>
      </c>
      <c r="BJ1" s="17" t="inlineStr">
        <is>
          <t>ContentIsoSymbolDefinition</t>
        </is>
      </c>
      <c r="BK1" s="17" t="inlineStr">
        <is>
          <t>PartVersion</t>
        </is>
      </c>
      <c r="BL1" s="16" t="inlineStr">
        <is>
          <t>Status</t>
        </is>
      </c>
      <c r="BM1" s="16" t="inlineStr">
        <is>
          <t>FlangeOffset</t>
        </is>
      </c>
      <c r="BN1" s="17" t="inlineStr">
        <is>
          <t>PnPClassName</t>
        </is>
      </c>
      <c r="BO1" s="17" t="inlineStr">
        <is>
          <t>ExcelFormatVersion_2.0</t>
        </is>
      </c>
      <c r="BP1" s="17" t="inlineStr">
        <is>
          <t>PnPID</t>
        </is>
      </c>
    </row>
    <row r="2">
      <c r="A2" s="19" t="inlineStr">
        <is>
          <t>Preview</t>
        </is>
      </c>
      <c r="B2" s="19" t="inlineStr">
        <is>
          <t>Sizes</t>
        </is>
      </c>
      <c r="C2" s="19" t="inlineStr">
        <is>
          <t>Shape Name</t>
        </is>
      </c>
      <c r="D2" t="inlineStr">
        <is>
          <t>Script Path</t>
        </is>
      </c>
      <c r="E2" t="inlineStr">
        <is>
          <t>DN</t>
        </is>
      </c>
      <c r="F2" s="19" t="inlineStr">
        <is>
          <t>L</t>
        </is>
      </c>
      <c r="G2" s="19" t="inlineStr">
        <is>
          <t>B</t>
        </is>
      </c>
      <c r="H2" s="19" t="inlineStr">
        <is>
          <t>D1</t>
        </is>
      </c>
      <c r="I2" s="19" t="inlineStr">
        <is>
          <t>D2</t>
        </is>
      </c>
      <c r="J2" s="19" t="inlineStr">
        <is>
          <t>OF</t>
        </is>
      </c>
      <c r="K2" s="19" t="inlineStr">
        <is>
          <t>ContentGeometryParamDefinition</t>
        </is>
      </c>
      <c r="L2" s="19" t="inlineStr">
        <is>
          <t>Size Record Id_S1</t>
        </is>
      </c>
      <c r="M2" s="80" t="inlineStr">
        <is>
          <t>Port Name_S1</t>
        </is>
      </c>
      <c r="N2" s="19" t="inlineStr">
        <is>
          <t>Nominal Diameter_S1</t>
        </is>
      </c>
      <c r="O2" s="19" t="inlineStr">
        <is>
          <t>Nominal Unit_S1</t>
        </is>
      </c>
      <c r="P2" s="19" t="inlineStr">
        <is>
          <t>Matching Pipe OD_S1</t>
        </is>
      </c>
      <c r="Q2" s="19" t="inlineStr">
        <is>
          <t>End Type_S1</t>
        </is>
      </c>
      <c r="R2" s="19" t="inlineStr">
        <is>
          <t>Flange Std_S1</t>
        </is>
      </c>
      <c r="S2" s="19" t="inlineStr">
        <is>
          <t>Gasket Std_S1</t>
        </is>
      </c>
      <c r="T2" s="19" t="inlineStr">
        <is>
          <t>Facing_S1</t>
        </is>
      </c>
      <c r="U2" s="19" t="inlineStr">
        <is>
          <t>Flange Thickness_S1</t>
        </is>
      </c>
      <c r="V2" s="19" t="inlineStr">
        <is>
          <t>Pressure Class_S1</t>
        </is>
      </c>
      <c r="W2" s="19" t="inlineStr">
        <is>
          <t>Schedule_S1</t>
        </is>
      </c>
      <c r="X2" s="19" t="inlineStr">
        <is>
          <t>Wall Thickness_S1</t>
        </is>
      </c>
      <c r="Y2" s="19" t="inlineStr">
        <is>
          <t>Engagement Length_S1</t>
        </is>
      </c>
      <c r="Z2" s="19" t="inlineStr">
        <is>
          <t>Port Unit_S1</t>
        </is>
      </c>
      <c r="AA2" s="19" t="inlineStr">
        <is>
          <t>Size Record Id_S2</t>
        </is>
      </c>
      <c r="AB2" s="80" t="inlineStr">
        <is>
          <t>Port Name_S2</t>
        </is>
      </c>
      <c r="AC2" s="19" t="inlineStr">
        <is>
          <t>Nominal Diameter_S2</t>
        </is>
      </c>
      <c r="AD2" s="19" t="inlineStr">
        <is>
          <t>Nominal Unit_S2</t>
        </is>
      </c>
      <c r="AE2" s="19" t="inlineStr">
        <is>
          <t>Matching Pipe OD_S2</t>
        </is>
      </c>
      <c r="AF2" s="19" t="inlineStr">
        <is>
          <t>End Type_S2</t>
        </is>
      </c>
      <c r="AG2" s="19" t="inlineStr">
        <is>
          <t>Flange Std_S2</t>
        </is>
      </c>
      <c r="AH2" s="19" t="inlineStr">
        <is>
          <t>Gasket Std_S2</t>
        </is>
      </c>
      <c r="AI2" s="19" t="inlineStr">
        <is>
          <t>Facing_S2</t>
        </is>
      </c>
      <c r="AJ2" s="19" t="inlineStr">
        <is>
          <t>Flange Thickness_S2</t>
        </is>
      </c>
      <c r="AK2" s="19" t="inlineStr">
        <is>
          <t>Pressure Class_S2</t>
        </is>
      </c>
      <c r="AL2" s="19" t="inlineStr">
        <is>
          <t>Schedule_S2</t>
        </is>
      </c>
      <c r="AM2" s="19" t="inlineStr">
        <is>
          <t>Wall Thickness_S2</t>
        </is>
      </c>
      <c r="AN2" s="19" t="inlineStr">
        <is>
          <t>Engagement Length_S2</t>
        </is>
      </c>
      <c r="AO2" s="19" t="inlineStr">
        <is>
          <t>Port Unit_S2</t>
        </is>
      </c>
      <c r="AP2" s="19" t="inlineStr">
        <is>
          <t>Short Description</t>
        </is>
      </c>
      <c r="AQ2" s="19" t="inlineStr">
        <is>
          <t>Compatible Standard</t>
        </is>
      </c>
      <c r="AR2" s="19" t="inlineStr">
        <is>
          <t>Design Std</t>
        </is>
      </c>
      <c r="AS2" s="19" t="inlineStr">
        <is>
          <t>Long Description (Family)</t>
        </is>
      </c>
      <c r="AT2" s="19" t="inlineStr">
        <is>
          <t>Long Description (Size)</t>
        </is>
      </c>
      <c r="AU2" s="19" t="inlineStr">
        <is>
          <t>Material</t>
        </is>
      </c>
      <c r="AV2" s="19" t="inlineStr">
        <is>
          <t>Material Code</t>
        </is>
      </c>
      <c r="AW2" s="19" t="inlineStr">
        <is>
          <t>Weight</t>
        </is>
      </c>
      <c r="AX2" s="19" t="inlineStr">
        <is>
          <t>Weight Unit</t>
        </is>
      </c>
      <c r="AY2" s="19" t="inlineStr">
        <is>
          <t>SKEY</t>
        </is>
      </c>
      <c r="AZ2" s="19" t="inlineStr">
        <is>
          <t>TYPE</t>
        </is>
      </c>
      <c r="BA2" s="19" t="inlineStr">
        <is>
          <t>Part Family Id</t>
        </is>
      </c>
      <c r="BB2" s="19" t="inlineStr">
        <is>
          <t>CatalogPartFamilyId</t>
        </is>
      </c>
      <c r="BC2" s="19" t="inlineStr">
        <is>
          <t>PartStatus</t>
        </is>
      </c>
      <c r="BD2" s="19" t="inlineStr">
        <is>
          <t>Manufacturer</t>
        </is>
      </c>
      <c r="BE2" s="19" t="inlineStr">
        <is>
          <t>Item Code</t>
        </is>
      </c>
      <c r="BF2" s="19" t="inlineStr">
        <is>
          <t>Design Pressure Factor</t>
        </is>
      </c>
      <c r="BG2" s="19" t="inlineStr">
        <is>
          <t>Connection Port Count</t>
        </is>
      </c>
      <c r="BH2" s="19" t="inlineStr">
        <is>
          <t>Component Designation</t>
        </is>
      </c>
      <c r="BI2" s="19" t="inlineStr">
        <is>
          <t>Part Category</t>
        </is>
      </c>
      <c r="BJ2" s="19" t="inlineStr">
        <is>
          <t>Content Iso Symbol Definition</t>
        </is>
      </c>
      <c r="BK2" s="19" t="inlineStr">
        <is>
          <t>PartVersion</t>
        </is>
      </c>
      <c r="BL2" s="19" t="inlineStr">
        <is>
          <t>Status</t>
        </is>
      </c>
      <c r="BM2" s="19" t="inlineStr">
        <is>
          <t>Flange Offset</t>
        </is>
      </c>
      <c r="BN2" s="19" t="inlineStr">
        <is>
          <t>PnPClassName</t>
        </is>
      </c>
      <c r="BO2" s="19" t="inlineStr">
        <is>
          <t>ExcelFormatVersion_2.0</t>
        </is>
      </c>
      <c r="BP2" s="19" t="inlineStr">
        <is>
          <t>PnPID</t>
        </is>
      </c>
    </row>
    <row r="3">
      <c r="C3" t="inlineStr">
        <is>
          <t>CUST_STUBEND_LJ_A_SH_BW_SCH40</t>
        </is>
      </c>
      <c r="D3" t="inlineStr">
        <is>
          <t>C:\AutoCAD Plant 3D 2026 Content\CPak Common\CustomScripts\CUST_STUBEND_LJ_A_SH_BW_SCH40.py</t>
        </is>
      </c>
    </row>
    <row r="4">
      <c r="C4" t="inlineStr">
        <is>
          <t>CUST_STUBEND_LJ_A_SH_BW_SCH40</t>
        </is>
      </c>
      <c r="D4" t="inlineStr">
        <is>
          <t>C:\AutoCAD Plant 3D 2026 Content\CPak Common\CustomScripts\CUST_STUBEND_LJ_A_SH_BW_SCH40.py</t>
        </is>
      </c>
    </row>
    <row r="5">
      <c r="C5" t="inlineStr">
        <is>
          <t>CUST_STUBEND_LJ_A_SH_BW_SCH40</t>
        </is>
      </c>
      <c r="D5" t="inlineStr">
        <is>
          <t>C:\AutoCAD Plant 3D 2026 Content\CPak Common\CustomScripts\CUST_STUBEND_LJ_A_SH_BW_SCH40.py</t>
        </is>
      </c>
    </row>
    <row r="6">
      <c r="C6" t="inlineStr">
        <is>
          <t>CUST_STUBEND_LJ_A_SH_BW_SCH40</t>
        </is>
      </c>
      <c r="D6" t="inlineStr">
        <is>
          <t>C:\AutoCAD Plant 3D 2026 Content\CPak Common\CustomScripts\CUST_STUBEND_LJ_A_SH_BW_SCH40.py</t>
        </is>
      </c>
    </row>
    <row r="7">
      <c r="C7" t="inlineStr">
        <is>
          <t>CUST_STUBEND_LJ_A_SH_BW_SCH40</t>
        </is>
      </c>
      <c r="D7" t="inlineStr">
        <is>
          <t>C:\AutoCAD Plant 3D 2026 Content\CPak Common\CustomScripts\CUST_STUBEND_LJ_A_SH_BW_SCH40.py</t>
        </is>
      </c>
    </row>
    <row r="8">
      <c r="C8" t="inlineStr">
        <is>
          <t>CUST_STUBEND_LJ_A_SH_BW_SCH40</t>
        </is>
      </c>
      <c r="D8" t="inlineStr">
        <is>
          <t>C:\AutoCAD Plant 3D 2026 Content\CPak Common\CustomScripts\CUST_STUBEND_LJ_A_SH_BW_SCH40.py</t>
        </is>
      </c>
    </row>
    <row r="9">
      <c r="C9" t="inlineStr">
        <is>
          <t>CUST_STUBEND_LJ_A_SH_BW_SCH40</t>
        </is>
      </c>
      <c r="D9" t="inlineStr">
        <is>
          <t>C:\AutoCAD Plant 3D 2026 Content\CPak Common\CustomScripts\CUST_STUBEND_LJ_A_SH_BW_SCH40.py</t>
        </is>
      </c>
    </row>
    <row r="10">
      <c r="C10" t="inlineStr">
        <is>
          <t>CUST_STUBEND_LJ_A_SH_BW_SCH40</t>
        </is>
      </c>
      <c r="D10" t="inlineStr">
        <is>
          <t>C:\AutoCAD Plant 3D 2026 Content\CPak Common\CustomScripts\CUST_STUBEND_LJ_A_SH_BW_SCH40.py</t>
        </is>
      </c>
    </row>
    <row r="11">
      <c r="C11" t="inlineStr">
        <is>
          <t>CUST_STUBEND_LJ_A_SH_BW_SCH40</t>
        </is>
      </c>
      <c r="D11" t="inlineStr">
        <is>
          <t>C:\AutoCAD Plant 3D 2026 Content\CPak Common\CustomScripts\CUST_STUBEND_LJ_A_SH_BW_SCH40.py</t>
        </is>
      </c>
    </row>
    <row r="12">
      <c r="C12" t="inlineStr">
        <is>
          <t>CUST_STUBEND_LJ_A_SH_BW_SCH40</t>
        </is>
      </c>
      <c r="D12" t="inlineStr">
        <is>
          <t>C:\AutoCAD Plant 3D 2026 Content\CPak Common\CustomScripts\CUST_STUBEND_LJ_A_SH_BW_SCH40.py</t>
        </is>
      </c>
    </row>
    <row r="13">
      <c r="C13" t="inlineStr">
        <is>
          <t>CUST_STUBEND_LJ_A_SH_BW_SCH40</t>
        </is>
      </c>
      <c r="D13" t="inlineStr">
        <is>
          <t>C:\AutoCAD Plant 3D 2026 Content\CPak Common\CustomScripts\CUST_STUBEND_LJ_A_SH_BW_SCH40.py</t>
        </is>
      </c>
    </row>
    <row r="14">
      <c r="C14" t="inlineStr">
        <is>
          <t>CUST_STUBEND_LJ_A_SH_BW_SCH40</t>
        </is>
      </c>
      <c r="D14" t="inlineStr">
        <is>
          <t>C:\AutoCAD Plant 3D 2026 Content\CPak Common\CustomScripts\CUST_STUBEND_LJ_A_SH_BW_SCH40.py</t>
        </is>
      </c>
    </row>
    <row r="15">
      <c r="C15" t="inlineStr">
        <is>
          <t>CUST_STUBEND_LJ_A_SH_BW_SCH40</t>
        </is>
      </c>
      <c r="D15" t="inlineStr">
        <is>
          <t>C:\AutoCAD Plant 3D 2026 Content\CPak Common\CustomScripts\CUST_STUBEND_LJ_A_SH_BW_SCH40.py</t>
        </is>
      </c>
    </row>
    <row r="16">
      <c r="C16" t="inlineStr">
        <is>
          <t>CUST_STUBEND_LJ_A_SH_BW_SCH40</t>
        </is>
      </c>
      <c r="D16" t="inlineStr">
        <is>
          <t>C:\AutoCAD Plant 3D 2026 Content\CPak Common\CustomScripts\CUST_STUBEND_LJ_A_SH_BW_SCH40.py</t>
        </is>
      </c>
    </row>
    <row r="17">
      <c r="C17" t="inlineStr">
        <is>
          <t>CUST_STUBEND_LJ_A_SH_BW_SCH40</t>
        </is>
      </c>
      <c r="D17" t="inlineStr">
        <is>
          <t>C:\AutoCAD Plant 3D 2026 Content\CPak Common\CustomScripts\CUST_STUBEND_LJ_A_SH_BW_SCH40.py</t>
        </is>
      </c>
    </row>
    <row r="18">
      <c r="C18" t="inlineStr">
        <is>
          <t>CUST_STUBEND_LJ_A_SH_BW_SCH40</t>
        </is>
      </c>
      <c r="D18" t="inlineStr">
        <is>
          <t>C:\AutoCAD Plant 3D 2026 Content\CPak Common\CustomScripts\CUST_STUBEND_LJ_A_SH_BW_SCH40.py</t>
        </is>
      </c>
    </row>
    <row r="19">
      <c r="C19" t="inlineStr">
        <is>
          <t>CUST_STUBEND_LJ_A_SH_BW_SCH40</t>
        </is>
      </c>
      <c r="D19" t="inlineStr">
        <is>
          <t>C:\AutoCAD Plant 3D 2026 Content\CPak Common\CustomScripts\CUST_STUBEND_LJ_A_SH_BW_SCH40.py</t>
        </is>
      </c>
    </row>
    <row r="20">
      <c r="C20" t="inlineStr">
        <is>
          <t>CUST_STUBEND_LJ_A_SH_BW_SCH40</t>
        </is>
      </c>
      <c r="D20" t="inlineStr">
        <is>
          <t>C:\AutoCAD Plant 3D 2026 Content\CPak Common\CustomScripts\CUST_STUBEND_LJ_A_SH_BW_SCH40.py</t>
        </is>
      </c>
    </row>
    <row r="21">
      <c r="C21" t="inlineStr">
        <is>
          <t>CUST_STUBEND_LJ_A_SH_BW_SCH40</t>
        </is>
      </c>
      <c r="D21" t="inlineStr">
        <is>
          <t>C:\AutoCAD Plant 3D 2026 Content\CPak Common\CustomScripts\CUST_STUBEND_LJ_A_SH_BW_SCH40.py</t>
        </is>
      </c>
    </row>
    <row r="22">
      <c r="C22" t="inlineStr">
        <is>
          <t>CUST_STUBEND_LJ_A_SH_BW_SCH40</t>
        </is>
      </c>
      <c r="D22" t="inlineStr">
        <is>
          <t>C:\AutoCAD Plant 3D 2026 Content\CPak Common\CustomScripts\CUST_STUBEND_LJ_A_SH_BW_SCH40.py</t>
        </is>
      </c>
    </row>
    <row r="23">
      <c r="C23" t="inlineStr">
        <is>
          <t>CUST_STUBEND_LJ_A_SH_BW_SCH40</t>
        </is>
      </c>
      <c r="D23" t="inlineStr">
        <is>
          <t>C:\AutoCAD Plant 3D 2026 Content\CPak Common\CustomScripts\CUST_STUBEND_LJ_A_SH_BW_SCH40.py</t>
        </is>
      </c>
    </row>
    <row r="24">
      <c r="C24" t="inlineStr">
        <is>
          <t>CUST_STUBEND_LJ_A_SH_BW_SCH40</t>
        </is>
      </c>
      <c r="D24" t="inlineStr">
        <is>
          <t>C:\AutoCAD Plant 3D 2026 Content\CPak Common\CustomScripts\CUST_STUBEND_LJ_A_SH_BW_SCH40.py</t>
        </is>
      </c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ColWidth="9.139196" defaultRowHeight="15"/>
  <sheetData>
    <row r="1">
      <c r="A1" s="16" t="inlineStr">
        <is>
          <t>LJ_RING_CL150_RF,FL,150</t>
        </is>
      </c>
      <c r="B1" s="16" t="inlineStr">
        <is>
          <t>Sizes</t>
        </is>
      </c>
      <c r="C1" s="16" t="inlineStr">
        <is>
          <t>ShapeName</t>
        </is>
      </c>
      <c r="D1" t="inlineStr">
        <is>
          <t>ScriptPath</t>
        </is>
      </c>
      <c r="E1" t="inlineStr">
        <is>
          <t>DN</t>
        </is>
      </c>
      <c r="F1" s="16" t="inlineStr">
        <is>
          <t>L</t>
        </is>
      </c>
      <c r="G1" s="16" t="inlineStr">
        <is>
          <t>D1</t>
        </is>
      </c>
      <c r="H1" s="16" t="inlineStr">
        <is>
          <t>D2</t>
        </is>
      </c>
      <c r="I1" s="17" t="inlineStr">
        <is>
          <t>ContentGeometryParamDefinition</t>
        </is>
      </c>
      <c r="J1" s="17" t="inlineStr">
        <is>
          <t>SizeRecordId_S1</t>
        </is>
      </c>
      <c r="K1" s="79" t="inlineStr">
        <is>
          <t>PortName_S1</t>
        </is>
      </c>
      <c r="L1" s="16" t="inlineStr">
        <is>
          <t>NominalDiameter_S1</t>
        </is>
      </c>
      <c r="M1" s="16" t="inlineStr">
        <is>
          <t>NominalUnit_S1</t>
        </is>
      </c>
      <c r="N1" s="16" t="inlineStr">
        <is>
          <t>MatchingPipeOd_S1</t>
        </is>
      </c>
      <c r="O1" s="16" t="inlineStr">
        <is>
          <t>EndType_S1</t>
        </is>
      </c>
      <c r="P1" s="16" t="inlineStr">
        <is>
          <t>FlangeStd_S1</t>
        </is>
      </c>
      <c r="Q1" s="16" t="inlineStr">
        <is>
          <t>GasketStd_S1</t>
        </is>
      </c>
      <c r="R1" s="16" t="inlineStr">
        <is>
          <t>Facing_S1</t>
        </is>
      </c>
      <c r="S1" s="16" t="inlineStr">
        <is>
          <t>FlangeThickness_S1</t>
        </is>
      </c>
      <c r="T1" s="16" t="inlineStr">
        <is>
          <t>PressureClass_S1</t>
        </is>
      </c>
      <c r="U1" s="16" t="inlineStr">
        <is>
          <t>Schedule_S1</t>
        </is>
      </c>
      <c r="V1" s="16" t="inlineStr">
        <is>
          <t>WallThickness_S1</t>
        </is>
      </c>
      <c r="W1" s="16" t="inlineStr">
        <is>
          <t>EngagementLength_S1</t>
        </is>
      </c>
      <c r="X1" s="16" t="inlineStr">
        <is>
          <t>LengthUnit_S1</t>
        </is>
      </c>
      <c r="Y1" s="17" t="inlineStr">
        <is>
          <t>SizeRecordId_S2</t>
        </is>
      </c>
      <c r="Z1" s="79" t="inlineStr">
        <is>
          <t>PortName_S2</t>
        </is>
      </c>
      <c r="AA1" s="16" t="inlineStr">
        <is>
          <t>NominalDiameter_S2</t>
        </is>
      </c>
      <c r="AB1" s="16" t="inlineStr">
        <is>
          <t>NominalUnit_S2</t>
        </is>
      </c>
      <c r="AC1" s="16" t="inlineStr">
        <is>
          <t>MatchingPipeOd_S2</t>
        </is>
      </c>
      <c r="AD1" s="16" t="inlineStr">
        <is>
          <t>EndType_S2</t>
        </is>
      </c>
      <c r="AE1" s="16" t="inlineStr">
        <is>
          <t>FlangeStd_S2</t>
        </is>
      </c>
      <c r="AF1" s="16" t="inlineStr">
        <is>
          <t>GasketStd_S2</t>
        </is>
      </c>
      <c r="AG1" s="16" t="inlineStr">
        <is>
          <t>Facing_S2</t>
        </is>
      </c>
      <c r="AH1" s="16" t="inlineStr">
        <is>
          <t>FlangeThickness_S2</t>
        </is>
      </c>
      <c r="AI1" s="16" t="inlineStr">
        <is>
          <t>PressureClass_S2</t>
        </is>
      </c>
      <c r="AJ1" s="16" t="inlineStr">
        <is>
          <t>Schedule_S2</t>
        </is>
      </c>
      <c r="AK1" s="16" t="inlineStr">
        <is>
          <t>WallThickness_S2</t>
        </is>
      </c>
      <c r="AL1" s="16" t="inlineStr">
        <is>
          <t>EngagementLength_S2</t>
        </is>
      </c>
      <c r="AM1" s="16" t="inlineStr">
        <is>
          <t>LengthUnit_S2</t>
        </is>
      </c>
      <c r="AN1" s="16" t="inlineStr">
        <is>
          <t>ShortDescription</t>
        </is>
      </c>
      <c r="AO1" s="16" t="inlineStr">
        <is>
          <t>CompatibleStandard</t>
        </is>
      </c>
      <c r="AP1" s="16" t="inlineStr">
        <is>
          <t>DesignStd</t>
        </is>
      </c>
      <c r="AQ1" s="16" t="inlineStr">
        <is>
          <t>PartFamilyLongDesc</t>
        </is>
      </c>
      <c r="AR1" s="16" t="inlineStr">
        <is>
          <t>PartSizeLongDesc</t>
        </is>
      </c>
      <c r="AS1" s="16" t="inlineStr">
        <is>
          <t>Material</t>
        </is>
      </c>
      <c r="AT1" s="16" t="inlineStr">
        <is>
          <t>MaterialCode</t>
        </is>
      </c>
      <c r="AU1" s="16" t="inlineStr">
        <is>
          <t>Weight</t>
        </is>
      </c>
      <c r="AV1" s="16" t="inlineStr">
        <is>
          <t>WeightUnit</t>
        </is>
      </c>
      <c r="AW1" s="16" t="inlineStr">
        <is>
          <t>SKEY</t>
        </is>
      </c>
      <c r="AX1" s="16" t="inlineStr">
        <is>
          <t>TYPE</t>
        </is>
      </c>
      <c r="AY1" s="17" t="inlineStr">
        <is>
          <t>PartFamilyId</t>
        </is>
      </c>
      <c r="AZ1" s="17" t="inlineStr">
        <is>
          <t>CatalogPartFamilyId</t>
        </is>
      </c>
      <c r="BA1" s="17" t="inlineStr">
        <is>
          <t>PartStatus</t>
        </is>
      </c>
      <c r="BB1" s="16" t="inlineStr">
        <is>
          <t>Manufacturer</t>
        </is>
      </c>
      <c r="BC1" s="16" t="inlineStr">
        <is>
          <t>ItemCode</t>
        </is>
      </c>
      <c r="BD1" s="16" t="inlineStr">
        <is>
          <t>DesignPressureFactor</t>
        </is>
      </c>
      <c r="BE1" s="17" t="inlineStr">
        <is>
          <t>ConnectionPortCount</t>
        </is>
      </c>
      <c r="BF1" s="16" t="inlineStr">
        <is>
          <t>ComponentDesignation</t>
        </is>
      </c>
      <c r="BG1" s="17" t="inlineStr">
        <is>
          <t>PartCategory</t>
        </is>
      </c>
      <c r="BH1" s="17" t="inlineStr">
        <is>
          <t>ContentIsoSymbolDefinition</t>
        </is>
      </c>
      <c r="BI1" s="17" t="inlineStr">
        <is>
          <t>PartVersion</t>
        </is>
      </c>
      <c r="BJ1" s="16" t="inlineStr">
        <is>
          <t>Status</t>
        </is>
      </c>
      <c r="BK1" s="17" t="inlineStr">
        <is>
          <t>PnPClassName</t>
        </is>
      </c>
      <c r="BL1" s="17" t="inlineStr">
        <is>
          <t>ExcelFormatVersion_2.0</t>
        </is>
      </c>
      <c r="BM1" s="17" t="inlineStr">
        <is>
          <t>PnPID</t>
        </is>
      </c>
    </row>
    <row r="2">
      <c r="A2" s="19" t="inlineStr">
        <is>
          <t>Preview</t>
        </is>
      </c>
      <c r="B2" s="19" t="inlineStr">
        <is>
          <t>Sizes</t>
        </is>
      </c>
      <c r="C2" s="19" t="inlineStr">
        <is>
          <t>Shape Name</t>
        </is>
      </c>
      <c r="D2" t="inlineStr">
        <is>
          <t>Script Path</t>
        </is>
      </c>
      <c r="E2" t="inlineStr">
        <is>
          <t>DN</t>
        </is>
      </c>
      <c r="F2" s="19" t="inlineStr">
        <is>
          <t>L</t>
        </is>
      </c>
      <c r="G2" s="19" t="inlineStr">
        <is>
          <t>D1</t>
        </is>
      </c>
      <c r="H2" s="19" t="inlineStr">
        <is>
          <t>D2</t>
        </is>
      </c>
      <c r="I2" s="19" t="inlineStr">
        <is>
          <t>ContentGeometryParamDefinition</t>
        </is>
      </c>
      <c r="J2" s="19" t="inlineStr">
        <is>
          <t>Size Record Id_S1</t>
        </is>
      </c>
      <c r="K2" s="80" t="inlineStr">
        <is>
          <t>Port Name_S1</t>
        </is>
      </c>
      <c r="L2" s="19" t="inlineStr">
        <is>
          <t>Nominal Diameter_S1</t>
        </is>
      </c>
      <c r="M2" s="19" t="inlineStr">
        <is>
          <t>Nominal Unit_S1</t>
        </is>
      </c>
      <c r="N2" s="19" t="inlineStr">
        <is>
          <t>Matching Pipe OD_S1</t>
        </is>
      </c>
      <c r="O2" s="19" t="inlineStr">
        <is>
          <t>End Type_S1</t>
        </is>
      </c>
      <c r="P2" s="19" t="inlineStr">
        <is>
          <t>Flange Std_S1</t>
        </is>
      </c>
      <c r="Q2" s="19" t="inlineStr">
        <is>
          <t>Gasket Std_S1</t>
        </is>
      </c>
      <c r="R2" s="19" t="inlineStr">
        <is>
          <t>Facing_S1</t>
        </is>
      </c>
      <c r="S2" s="19" t="inlineStr">
        <is>
          <t>Flange Thickness_S1</t>
        </is>
      </c>
      <c r="T2" s="19" t="inlineStr">
        <is>
          <t>Pressure Class_S1</t>
        </is>
      </c>
      <c r="U2" s="19" t="inlineStr">
        <is>
          <t>Schedule_S1</t>
        </is>
      </c>
      <c r="V2" s="19" t="inlineStr">
        <is>
          <t>Wall Thickness_S1</t>
        </is>
      </c>
      <c r="W2" s="19" t="inlineStr">
        <is>
          <t>Engagement Length_S1</t>
        </is>
      </c>
      <c r="X2" s="19" t="inlineStr">
        <is>
          <t>Port Unit_S1</t>
        </is>
      </c>
      <c r="Y2" s="19" t="inlineStr">
        <is>
          <t>Size Record Id_S2</t>
        </is>
      </c>
      <c r="Z2" s="80" t="inlineStr">
        <is>
          <t>Port Name_S2</t>
        </is>
      </c>
      <c r="AA2" s="19" t="inlineStr">
        <is>
          <t>Nominal Diameter_S2</t>
        </is>
      </c>
      <c r="AB2" s="19" t="inlineStr">
        <is>
          <t>Nominal Unit_S2</t>
        </is>
      </c>
      <c r="AC2" s="19" t="inlineStr">
        <is>
          <t>Matching Pipe OD_S2</t>
        </is>
      </c>
      <c r="AD2" s="19" t="inlineStr">
        <is>
          <t>End Type_S2</t>
        </is>
      </c>
      <c r="AE2" s="19" t="inlineStr">
        <is>
          <t>Flange Std_S2</t>
        </is>
      </c>
      <c r="AF2" s="19" t="inlineStr">
        <is>
          <t>Gasket Std_S2</t>
        </is>
      </c>
      <c r="AG2" s="19" t="inlineStr">
        <is>
          <t>Facing_S2</t>
        </is>
      </c>
      <c r="AH2" s="19" t="inlineStr">
        <is>
          <t>Flange Thickness_S2</t>
        </is>
      </c>
      <c r="AI2" s="19" t="inlineStr">
        <is>
          <t>Pressure Class_S2</t>
        </is>
      </c>
      <c r="AJ2" s="19" t="inlineStr">
        <is>
          <t>Schedule_S2</t>
        </is>
      </c>
      <c r="AK2" s="19" t="inlineStr">
        <is>
          <t>Wall Thickness_S2</t>
        </is>
      </c>
      <c r="AL2" s="19" t="inlineStr">
        <is>
          <t>Engagement Length_S2</t>
        </is>
      </c>
      <c r="AM2" s="19" t="inlineStr">
        <is>
          <t>Port Unit_S2</t>
        </is>
      </c>
      <c r="AN2" s="19" t="inlineStr">
        <is>
          <t>Short Description</t>
        </is>
      </c>
      <c r="AO2" s="19" t="inlineStr">
        <is>
          <t>Compatible Standard</t>
        </is>
      </c>
      <c r="AP2" s="19" t="inlineStr">
        <is>
          <t>Design Std</t>
        </is>
      </c>
      <c r="AQ2" s="19" t="inlineStr">
        <is>
          <t>Long Description (Family)</t>
        </is>
      </c>
      <c r="AR2" s="19" t="inlineStr">
        <is>
          <t>Long Description (Size)</t>
        </is>
      </c>
      <c r="AS2" s="19" t="inlineStr">
        <is>
          <t>Material</t>
        </is>
      </c>
      <c r="AT2" s="19" t="inlineStr">
        <is>
          <t>Material Code</t>
        </is>
      </c>
      <c r="AU2" s="19" t="inlineStr">
        <is>
          <t>Weight</t>
        </is>
      </c>
      <c r="AV2" s="19" t="inlineStr">
        <is>
          <t>Weight Unit</t>
        </is>
      </c>
      <c r="AW2" s="19" t="inlineStr">
        <is>
          <t>SKEY</t>
        </is>
      </c>
      <c r="AX2" s="19" t="inlineStr">
        <is>
          <t>TYPE</t>
        </is>
      </c>
      <c r="AY2" s="19" t="inlineStr">
        <is>
          <t>Part Family Id</t>
        </is>
      </c>
      <c r="AZ2" s="19" t="inlineStr">
        <is>
          <t>CatalogPartFamilyId</t>
        </is>
      </c>
      <c r="BA2" s="19" t="inlineStr">
        <is>
          <t>PartStatus</t>
        </is>
      </c>
      <c r="BB2" s="19" t="inlineStr">
        <is>
          <t>Manufacturer</t>
        </is>
      </c>
      <c r="BC2" s="19" t="inlineStr">
        <is>
          <t>Item Code</t>
        </is>
      </c>
      <c r="BD2" s="19" t="inlineStr">
        <is>
          <t>Design Pressure Factor</t>
        </is>
      </c>
      <c r="BE2" s="19" t="inlineStr">
        <is>
          <t>Connection Port Count</t>
        </is>
      </c>
      <c r="BF2" s="19" t="inlineStr">
        <is>
          <t>Component Designation</t>
        </is>
      </c>
      <c r="BG2" s="19" t="inlineStr">
        <is>
          <t>Part Category</t>
        </is>
      </c>
      <c r="BH2" s="19" t="inlineStr">
        <is>
          <t>Content Iso Symbol Definition</t>
        </is>
      </c>
      <c r="BI2" s="19" t="inlineStr">
        <is>
          <t>PartVersion</t>
        </is>
      </c>
      <c r="BJ2" s="19" t="inlineStr">
        <is>
          <t>Status</t>
        </is>
      </c>
      <c r="BK2" s="19" t="inlineStr">
        <is>
          <t>PnPClassName</t>
        </is>
      </c>
      <c r="BL2" s="19" t="inlineStr">
        <is>
          <t>ExcelFormatVersion_2.0</t>
        </is>
      </c>
      <c r="BM2" s="19" t="inlineStr">
        <is>
          <t>PnPID</t>
        </is>
      </c>
    </row>
    <row r="3">
      <c r="C3" t="inlineStr">
        <is>
          <t>CUST_LJ_RING_CL150_RF</t>
        </is>
      </c>
      <c r="D3" t="inlineStr">
        <is>
          <t>C:\AutoCAD Plant 3D 2026 Content\CPak Common\CustomScripts\CUST_LJ_RING_CL150_RF.py</t>
        </is>
      </c>
    </row>
    <row r="4">
      <c r="C4" t="inlineStr">
        <is>
          <t>CUST_LJ_RING_CL150_RF</t>
        </is>
      </c>
      <c r="D4" t="inlineStr">
        <is>
          <t>C:\AutoCAD Plant 3D 2026 Content\CPak Common\CustomScripts\CUST_LJ_RING_CL150_RF.py</t>
        </is>
      </c>
    </row>
    <row r="5">
      <c r="C5" t="inlineStr">
        <is>
          <t>CUST_LJ_RING_CL150_RF</t>
        </is>
      </c>
      <c r="D5" t="inlineStr">
        <is>
          <t>C:\AutoCAD Plant 3D 2026 Content\CPak Common\CustomScripts\CUST_LJ_RING_CL150_RF.py</t>
        </is>
      </c>
    </row>
    <row r="6">
      <c r="C6" t="inlineStr">
        <is>
          <t>CUST_LJ_RING_CL150_RF</t>
        </is>
      </c>
      <c r="D6" t="inlineStr">
        <is>
          <t>C:\AutoCAD Plant 3D 2026 Content\CPak Common\CustomScripts\CUST_LJ_RING_CL150_RF.py</t>
        </is>
      </c>
    </row>
    <row r="7">
      <c r="C7" t="inlineStr">
        <is>
          <t>CUST_LJ_RING_CL150_RF</t>
        </is>
      </c>
      <c r="D7" t="inlineStr">
        <is>
          <t>C:\AutoCAD Plant 3D 2026 Content\CPak Common\CustomScripts\CUST_LJ_RING_CL150_RF.py</t>
        </is>
      </c>
    </row>
    <row r="8">
      <c r="C8" t="inlineStr">
        <is>
          <t>CUST_LJ_RING_CL150_RF</t>
        </is>
      </c>
      <c r="D8" t="inlineStr">
        <is>
          <t>C:\AutoCAD Plant 3D 2026 Content\CPak Common\CustomScripts\CUST_LJ_RING_CL150_RF.py</t>
        </is>
      </c>
    </row>
    <row r="9">
      <c r="C9" t="inlineStr">
        <is>
          <t>CUST_LJ_RING_CL150_RF</t>
        </is>
      </c>
      <c r="D9" t="inlineStr">
        <is>
          <t>C:\AutoCAD Plant 3D 2026 Content\CPak Common\CustomScripts\CUST_LJ_RING_CL150_RF.py</t>
        </is>
      </c>
    </row>
    <row r="10">
      <c r="C10" t="inlineStr">
        <is>
          <t>CUST_LJ_RING_CL150_RF</t>
        </is>
      </c>
      <c r="D10" t="inlineStr">
        <is>
          <t>C:\AutoCAD Plant 3D 2026 Content\CPak Common\CustomScripts\CUST_LJ_RING_CL150_RF.py</t>
        </is>
      </c>
    </row>
    <row r="11">
      <c r="C11" t="inlineStr">
        <is>
          <t>CUST_LJ_RING_CL150_RF</t>
        </is>
      </c>
      <c r="D11" t="inlineStr">
        <is>
          <t>C:\AutoCAD Plant 3D 2026 Content\CPak Common\CustomScripts\CUST_LJ_RING_CL150_RF.py</t>
        </is>
      </c>
    </row>
    <row r="12">
      <c r="C12" t="inlineStr">
        <is>
          <t>CUST_LJ_RING_CL150_RF</t>
        </is>
      </c>
      <c r="D12" t="inlineStr">
        <is>
          <t>C:\AutoCAD Plant 3D 2026 Content\CPak Common\CustomScripts\CUST_LJ_RING_CL150_RF.py</t>
        </is>
      </c>
    </row>
    <row r="13">
      <c r="C13" t="inlineStr">
        <is>
          <t>CUST_LJ_RING_CL150_RF</t>
        </is>
      </c>
      <c r="D13" t="inlineStr">
        <is>
          <t>C:\AutoCAD Plant 3D 2026 Content\CPak Common\CustomScripts\CUST_LJ_RING_CL150_RF.py</t>
        </is>
      </c>
    </row>
    <row r="14">
      <c r="C14" t="inlineStr">
        <is>
          <t>CUST_LJ_RING_CL150_RF</t>
        </is>
      </c>
      <c r="D14" t="inlineStr">
        <is>
          <t>C:\AutoCAD Plant 3D 2026 Content\CPak Common\CustomScripts\CUST_LJ_RING_CL150_RF.py</t>
        </is>
      </c>
    </row>
    <row r="15">
      <c r="C15" t="inlineStr">
        <is>
          <t>CUST_LJ_RING_CL150_RF</t>
        </is>
      </c>
      <c r="D15" t="inlineStr">
        <is>
          <t>C:\AutoCAD Plant 3D 2026 Content\CPak Common\CustomScripts\CUST_LJ_RING_CL150_RF.py</t>
        </is>
      </c>
    </row>
    <row r="16">
      <c r="C16" t="inlineStr">
        <is>
          <t>CUST_LJ_RING_CL150_RF</t>
        </is>
      </c>
      <c r="D16" t="inlineStr">
        <is>
          <t>C:\AutoCAD Plant 3D 2026 Content\CPak Common\CustomScripts\CUST_LJ_RING_CL150_RF.py</t>
        </is>
      </c>
    </row>
    <row r="17">
      <c r="C17" t="inlineStr">
        <is>
          <t>CUST_LJ_RING_CL150_RF</t>
        </is>
      </c>
      <c r="D17" t="inlineStr">
        <is>
          <t>C:\AutoCAD Plant 3D 2026 Content\CPak Common\CustomScripts\CUST_LJ_RING_CL150_RF.py</t>
        </is>
      </c>
    </row>
    <row r="18">
      <c r="C18" t="inlineStr">
        <is>
          <t>CUST_LJ_RING_CL150_RF</t>
        </is>
      </c>
      <c r="D18" t="inlineStr">
        <is>
          <t>C:\AutoCAD Plant 3D 2026 Content\CPak Common\CustomScripts\CUST_LJ_RING_CL150_RF.py</t>
        </is>
      </c>
    </row>
    <row r="19">
      <c r="C19" t="inlineStr">
        <is>
          <t>CUST_LJ_RING_CL150_RF</t>
        </is>
      </c>
      <c r="D19" t="inlineStr">
        <is>
          <t>C:\AutoCAD Plant 3D 2026 Content\CPak Common\CustomScripts\CUST_LJ_RING_CL150_RF.py</t>
        </is>
      </c>
    </row>
    <row r="20">
      <c r="C20" t="inlineStr">
        <is>
          <t>CUST_LJ_RING_CL150_RF</t>
        </is>
      </c>
      <c r="D20" t="inlineStr">
        <is>
          <t>C:\AutoCAD Plant 3D 2026 Content\CPak Common\CustomScripts\CUST_LJ_RING_CL150_RF.py</t>
        </is>
      </c>
    </row>
    <row r="21">
      <c r="C21" t="inlineStr">
        <is>
          <t>CUST_LJ_RING_CL150_RF</t>
        </is>
      </c>
      <c r="D21" t="inlineStr">
        <is>
          <t>C:\AutoCAD Plant 3D 2026 Content\CPak Common\CustomScripts\CUST_LJ_RING_CL150_RF.py</t>
        </is>
      </c>
    </row>
    <row r="22">
      <c r="C22" t="inlineStr">
        <is>
          <t>CUST_LJ_RING_CL150_RF</t>
        </is>
      </c>
      <c r="D22" t="inlineStr">
        <is>
          <t>C:\AutoCAD Plant 3D 2026 Content\CPak Common\CustomScripts\CUST_LJ_RING_CL150_RF.py</t>
        </is>
      </c>
    </row>
    <row r="23">
      <c r="C23" t="inlineStr">
        <is>
          <t>CUST_LJ_RING_CL150_RF</t>
        </is>
      </c>
      <c r="D23" t="inlineStr">
        <is>
          <t>C:\AutoCAD Plant 3D 2026 Content\CPak Common\CustomScripts\CUST_LJ_RING_CL150_RF.py</t>
        </is>
      </c>
    </row>
    <row r="24">
      <c r="C24" t="inlineStr">
        <is>
          <t>CUST_LJ_RING_CL150_RF</t>
        </is>
      </c>
      <c r="D24" t="inlineStr">
        <is>
          <t>C:\AutoCAD Plant 3D 2026 Content\CPak Common\CustomScripts\CUST_LJ_RING_CL150_RF.py</t>
        </is>
      </c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P24"/>
  <sheetViews>
    <sheetView workbookViewId="0">
      <selection activeCell="A1" sqref="A1"/>
    </sheetView>
  </sheetViews>
  <sheetFormatPr baseColWidth="8" defaultColWidth="9.139196" defaultRowHeight="15"/>
  <sheetData>
    <row r="1">
      <c r="A1" t="inlineStr">
        <is>
          <t>STUBEND_LJ_A_BW_SCH40,FL,40</t>
        </is>
      </c>
      <c r="B1" t="inlineStr">
        <is>
          <t>Sizes</t>
        </is>
      </c>
      <c r="C1" t="inlineStr">
        <is>
          <t>ShapeName</t>
        </is>
      </c>
      <c r="D1" t="inlineStr">
        <is>
          <t>ScriptPath</t>
        </is>
      </c>
      <c r="E1" t="inlineStr">
        <is>
          <t>DN</t>
        </is>
      </c>
      <c r="F1" t="inlineStr">
        <is>
          <t>L</t>
        </is>
      </c>
      <c r="G1" t="inlineStr">
        <is>
          <t>B</t>
        </is>
      </c>
      <c r="H1" t="inlineStr">
        <is>
          <t>D1</t>
        </is>
      </c>
      <c r="I1" t="inlineStr">
        <is>
          <t>D2</t>
        </is>
      </c>
      <c r="J1" t="inlineStr">
        <is>
          <t>OF</t>
        </is>
      </c>
      <c r="K1" t="inlineStr">
        <is>
          <t>ContentGeometryParamDefinition</t>
        </is>
      </c>
      <c r="L1" t="inlineStr">
        <is>
          <t>SizeRecordId_S1</t>
        </is>
      </c>
      <c r="M1" t="inlineStr">
        <is>
          <t>PortName_S1</t>
        </is>
      </c>
      <c r="N1" t="inlineStr">
        <is>
          <t>NominalDiameter_S1</t>
        </is>
      </c>
      <c r="O1" t="inlineStr">
        <is>
          <t>NominalUnit_S1</t>
        </is>
      </c>
      <c r="P1" t="inlineStr">
        <is>
          <t>MatchingPipeOd_S1</t>
        </is>
      </c>
      <c r="Q1" t="inlineStr">
        <is>
          <t>EndType_S1</t>
        </is>
      </c>
      <c r="R1" t="inlineStr">
        <is>
          <t>FlangeStd_S1</t>
        </is>
      </c>
      <c r="S1" t="inlineStr">
        <is>
          <t>GasketStd_S1</t>
        </is>
      </c>
      <c r="T1" t="inlineStr">
        <is>
          <t>Facing_S1</t>
        </is>
      </c>
      <c r="U1" t="inlineStr">
        <is>
          <t>FlangeThickness_S1</t>
        </is>
      </c>
      <c r="V1" t="inlineStr">
        <is>
          <t>PressureClass_S1</t>
        </is>
      </c>
      <c r="W1" t="inlineStr">
        <is>
          <t>Schedule_S1</t>
        </is>
      </c>
      <c r="X1" t="inlineStr">
        <is>
          <t>WallThickness_S1</t>
        </is>
      </c>
      <c r="Y1" t="inlineStr">
        <is>
          <t>EngagementLength_S1</t>
        </is>
      </c>
      <c r="Z1" t="inlineStr">
        <is>
          <t>LengthUnit_S1</t>
        </is>
      </c>
      <c r="AA1" t="inlineStr">
        <is>
          <t>SizeRecordId_S2</t>
        </is>
      </c>
      <c r="AB1" t="inlineStr">
        <is>
          <t>PortName_S2</t>
        </is>
      </c>
      <c r="AC1" t="inlineStr">
        <is>
          <t>NominalDiameter_S2</t>
        </is>
      </c>
      <c r="AD1" t="inlineStr">
        <is>
          <t>NominalUnit_S2</t>
        </is>
      </c>
      <c r="AE1" t="inlineStr">
        <is>
          <t>MatchingPipeOd_S2</t>
        </is>
      </c>
      <c r="AF1" t="inlineStr">
        <is>
          <t>EndType_S2</t>
        </is>
      </c>
      <c r="AG1" t="inlineStr">
        <is>
          <t>FlangeStd_S2</t>
        </is>
      </c>
      <c r="AH1" t="inlineStr">
        <is>
          <t>GasketStd_S2</t>
        </is>
      </c>
      <c r="AI1" t="inlineStr">
        <is>
          <t>Facing_S2</t>
        </is>
      </c>
      <c r="AJ1" t="inlineStr">
        <is>
          <t>FlangeThickness_S2</t>
        </is>
      </c>
      <c r="AK1" t="inlineStr">
        <is>
          <t>PressureClass_S2</t>
        </is>
      </c>
      <c r="AL1" t="inlineStr">
        <is>
          <t>Schedule_S2</t>
        </is>
      </c>
      <c r="AM1" t="inlineStr">
        <is>
          <t>WallThickness_S2</t>
        </is>
      </c>
      <c r="AN1" t="inlineStr">
        <is>
          <t>EngagementLength_S2</t>
        </is>
      </c>
      <c r="AO1" t="inlineStr">
        <is>
          <t>LengthUnit_S2</t>
        </is>
      </c>
      <c r="AP1" t="inlineStr">
        <is>
          <t>ShortDescription</t>
        </is>
      </c>
      <c r="AQ1" t="inlineStr">
        <is>
          <t>CompatibleStandard</t>
        </is>
      </c>
      <c r="AR1" t="inlineStr">
        <is>
          <t>DesignStd</t>
        </is>
      </c>
      <c r="AS1" t="inlineStr">
        <is>
          <t>PartFamilyLongDesc</t>
        </is>
      </c>
      <c r="AT1" t="inlineStr">
        <is>
          <t>PartSizeLongDesc</t>
        </is>
      </c>
      <c r="AU1" t="inlineStr">
        <is>
          <t>Material</t>
        </is>
      </c>
      <c r="AV1" t="inlineStr">
        <is>
          <t>MaterialCode</t>
        </is>
      </c>
      <c r="AW1" t="inlineStr">
        <is>
          <t>Weight</t>
        </is>
      </c>
      <c r="AX1" t="inlineStr">
        <is>
          <t>WeightUnit</t>
        </is>
      </c>
      <c r="AY1" t="inlineStr">
        <is>
          <t>SKEY</t>
        </is>
      </c>
      <c r="AZ1" t="inlineStr">
        <is>
          <t>TYPE</t>
        </is>
      </c>
      <c r="BA1" t="inlineStr">
        <is>
          <t>PartFamilyId</t>
        </is>
      </c>
      <c r="BB1" t="inlineStr">
        <is>
          <t>CatalogPartFamilyId</t>
        </is>
      </c>
      <c r="BC1" t="inlineStr">
        <is>
          <t>PartStatus</t>
        </is>
      </c>
      <c r="BD1" t="inlineStr">
        <is>
          <t>Manufacturer</t>
        </is>
      </c>
      <c r="BE1" t="inlineStr">
        <is>
          <t>ItemCode</t>
        </is>
      </c>
      <c r="BF1" t="inlineStr">
        <is>
          <t>DesignPressureFactor</t>
        </is>
      </c>
      <c r="BG1" t="inlineStr">
        <is>
          <t>ConnectionPortCount</t>
        </is>
      </c>
      <c r="BH1" t="inlineStr">
        <is>
          <t>ComponentDesignation</t>
        </is>
      </c>
      <c r="BI1" t="inlineStr">
        <is>
          <t>PartCategory</t>
        </is>
      </c>
      <c r="BJ1" t="inlineStr">
        <is>
          <t>ContentIsoSymbolDefinition</t>
        </is>
      </c>
      <c r="BK1" t="inlineStr">
        <is>
          <t>PartVersion</t>
        </is>
      </c>
      <c r="BL1" t="inlineStr">
        <is>
          <t>Status</t>
        </is>
      </c>
      <c r="BM1" t="inlineStr">
        <is>
          <t>FlangeOffset</t>
        </is>
      </c>
      <c r="BN1" t="inlineStr">
        <is>
          <t>PnPClassName</t>
        </is>
      </c>
      <c r="BO1" t="inlineStr">
        <is>
          <t>ExcelFormatVersion_2.0</t>
        </is>
      </c>
      <c r="BP1" t="inlineStr">
        <is>
          <t>PnPID</t>
        </is>
      </c>
    </row>
    <row r="2">
      <c r="A2" t="inlineStr">
        <is>
          <t>Preview</t>
        </is>
      </c>
      <c r="B2" t="inlineStr">
        <is>
          <t>Sizes</t>
        </is>
      </c>
      <c r="C2" t="inlineStr">
        <is>
          <t>Shape Name</t>
        </is>
      </c>
      <c r="D2" t="inlineStr">
        <is>
          <t>Script Path</t>
        </is>
      </c>
      <c r="E2" t="inlineStr">
        <is>
          <t>DN</t>
        </is>
      </c>
      <c r="F2" t="inlineStr">
        <is>
          <t>L</t>
        </is>
      </c>
      <c r="G2" t="inlineStr">
        <is>
          <t>B</t>
        </is>
      </c>
      <c r="H2" t="inlineStr">
        <is>
          <t>D1</t>
        </is>
      </c>
      <c r="I2" t="inlineStr">
        <is>
          <t>D2</t>
        </is>
      </c>
      <c r="J2" t="inlineStr">
        <is>
          <t>OF</t>
        </is>
      </c>
      <c r="K2" t="inlineStr">
        <is>
          <t>ContentGeometryParamDefinition</t>
        </is>
      </c>
      <c r="L2" t="inlineStr">
        <is>
          <t>Size Record Id_S1</t>
        </is>
      </c>
      <c r="M2" t="inlineStr">
        <is>
          <t>Port Name_S1</t>
        </is>
      </c>
      <c r="N2" t="inlineStr">
        <is>
          <t>Nominal Diameter_S1</t>
        </is>
      </c>
      <c r="O2" t="inlineStr">
        <is>
          <t>Nominal Unit_S1</t>
        </is>
      </c>
      <c r="P2" t="inlineStr">
        <is>
          <t>Matching Pipe OD_S1</t>
        </is>
      </c>
      <c r="Q2" t="inlineStr">
        <is>
          <t>End Type_S1</t>
        </is>
      </c>
      <c r="R2" t="inlineStr">
        <is>
          <t>Flange Std_S1</t>
        </is>
      </c>
      <c r="S2" t="inlineStr">
        <is>
          <t>Gasket Std_S1</t>
        </is>
      </c>
      <c r="T2" t="inlineStr">
        <is>
          <t>Facing_S1</t>
        </is>
      </c>
      <c r="U2" t="inlineStr">
        <is>
          <t>Flange Thickness_S1</t>
        </is>
      </c>
      <c r="V2" t="inlineStr">
        <is>
          <t>Pressure Class_S1</t>
        </is>
      </c>
      <c r="W2" t="inlineStr">
        <is>
          <t>Schedule_S1</t>
        </is>
      </c>
      <c r="X2" t="inlineStr">
        <is>
          <t>Wall Thickness_S1</t>
        </is>
      </c>
      <c r="Y2" t="inlineStr">
        <is>
          <t>Engagement Length_S1</t>
        </is>
      </c>
      <c r="Z2" t="inlineStr">
        <is>
          <t>Port Unit_S1</t>
        </is>
      </c>
      <c r="AA2" t="inlineStr">
        <is>
          <t>Size Record Id_S2</t>
        </is>
      </c>
      <c r="AB2" t="inlineStr">
        <is>
          <t>Port Name_S2</t>
        </is>
      </c>
      <c r="AC2" t="inlineStr">
        <is>
          <t>Nominal Diameter_S2</t>
        </is>
      </c>
      <c r="AD2" t="inlineStr">
        <is>
          <t>Nominal Unit_S2</t>
        </is>
      </c>
      <c r="AE2" t="inlineStr">
        <is>
          <t>Matching Pipe OD_S2</t>
        </is>
      </c>
      <c r="AF2" t="inlineStr">
        <is>
          <t>End Type_S2</t>
        </is>
      </c>
      <c r="AG2" t="inlineStr">
        <is>
          <t>Flange Std_S2</t>
        </is>
      </c>
      <c r="AH2" t="inlineStr">
        <is>
          <t>Gasket Std_S2</t>
        </is>
      </c>
      <c r="AI2" t="inlineStr">
        <is>
          <t>Facing_S2</t>
        </is>
      </c>
      <c r="AJ2" t="inlineStr">
        <is>
          <t>Flange Thickness_S2</t>
        </is>
      </c>
      <c r="AK2" t="inlineStr">
        <is>
          <t>Pressure Class_S2</t>
        </is>
      </c>
      <c r="AL2" t="inlineStr">
        <is>
          <t>Schedule_S2</t>
        </is>
      </c>
      <c r="AM2" t="inlineStr">
        <is>
          <t>Wall Thickness_S2</t>
        </is>
      </c>
      <c r="AN2" t="inlineStr">
        <is>
          <t>Engagement Length_S2</t>
        </is>
      </c>
      <c r="AO2" t="inlineStr">
        <is>
          <t>Port Unit_S2</t>
        </is>
      </c>
      <c r="AP2" t="inlineStr">
        <is>
          <t>Short Description</t>
        </is>
      </c>
      <c r="AQ2" t="inlineStr">
        <is>
          <t>Compatible Standard</t>
        </is>
      </c>
      <c r="AR2" t="inlineStr">
        <is>
          <t>Design Std</t>
        </is>
      </c>
      <c r="AS2" t="inlineStr">
        <is>
          <t>Long Description (Family)</t>
        </is>
      </c>
      <c r="AT2" t="inlineStr">
        <is>
          <t>Long Description (Size)</t>
        </is>
      </c>
      <c r="AU2" t="inlineStr">
        <is>
          <t>Material</t>
        </is>
      </c>
      <c r="AV2" t="inlineStr">
        <is>
          <t>Material Code</t>
        </is>
      </c>
      <c r="AW2" t="inlineStr">
        <is>
          <t>Weight</t>
        </is>
      </c>
      <c r="AX2" t="inlineStr">
        <is>
          <t>Weight Unit</t>
        </is>
      </c>
      <c r="AY2" t="inlineStr">
        <is>
          <t>SKEY</t>
        </is>
      </c>
      <c r="AZ2" t="inlineStr">
        <is>
          <t>TYPE</t>
        </is>
      </c>
      <c r="BA2" t="inlineStr">
        <is>
          <t>Part Family Id</t>
        </is>
      </c>
      <c r="BB2" t="inlineStr">
        <is>
          <t>CatalogPartFamilyId</t>
        </is>
      </c>
      <c r="BC2" t="inlineStr">
        <is>
          <t>PartStatus</t>
        </is>
      </c>
      <c r="BD2" t="inlineStr">
        <is>
          <t>Manufacturer</t>
        </is>
      </c>
      <c r="BE2" t="inlineStr">
        <is>
          <t>Item Code</t>
        </is>
      </c>
      <c r="BF2" t="inlineStr">
        <is>
          <t>Design Pressure Factor</t>
        </is>
      </c>
      <c r="BG2" t="inlineStr">
        <is>
          <t>Connection Port Count</t>
        </is>
      </c>
      <c r="BH2" t="inlineStr">
        <is>
          <t>Component Designation</t>
        </is>
      </c>
      <c r="BI2" t="inlineStr">
        <is>
          <t>Part Category</t>
        </is>
      </c>
      <c r="BJ2" t="inlineStr">
        <is>
          <t>Content Iso Symbol Definition</t>
        </is>
      </c>
      <c r="BK2" t="inlineStr">
        <is>
          <t>PartVersion</t>
        </is>
      </c>
      <c r="BL2" t="inlineStr">
        <is>
          <t>Status</t>
        </is>
      </c>
      <c r="BM2" t="inlineStr">
        <is>
          <t>Flange Offset</t>
        </is>
      </c>
      <c r="BN2" t="inlineStr">
        <is>
          <t>PnPClassName</t>
        </is>
      </c>
      <c r="BO2" t="inlineStr">
        <is>
          <t>ExcelFormatVersion_2.0</t>
        </is>
      </c>
      <c r="BP2" t="inlineStr">
        <is>
          <t>PnPID</t>
        </is>
      </c>
    </row>
    <row r="3">
      <c r="C3" t="inlineStr">
        <is>
          <t>CUST_STUBEND_LJ_A_BW_SCH40</t>
        </is>
      </c>
      <c r="D3" t="inlineStr">
        <is>
          <t>C:\AutoCAD Plant 3D 2026 Content\CPak Common\CustomScripts\CUST_STUBEND_LJ_A_BW_SCH40.py</t>
        </is>
      </c>
    </row>
    <row r="4">
      <c r="C4" t="inlineStr">
        <is>
          <t>CUST_STUBEND_LJ_A_BW_SCH40</t>
        </is>
      </c>
      <c r="D4" t="inlineStr">
        <is>
          <t>C:\AutoCAD Plant 3D 2026 Content\CPak Common\CustomScripts\CUST_STUBEND_LJ_A_BW_SCH40.py</t>
        </is>
      </c>
    </row>
    <row r="5">
      <c r="C5" t="inlineStr">
        <is>
          <t>CUST_STUBEND_LJ_A_BW_SCH40</t>
        </is>
      </c>
      <c r="D5" t="inlineStr">
        <is>
          <t>C:\AutoCAD Plant 3D 2026 Content\CPak Common\CustomScripts\CUST_STUBEND_LJ_A_BW_SCH40.py</t>
        </is>
      </c>
    </row>
    <row r="6">
      <c r="C6" t="inlineStr">
        <is>
          <t>CUST_STUBEND_LJ_A_BW_SCH40</t>
        </is>
      </c>
      <c r="D6" t="inlineStr">
        <is>
          <t>C:\AutoCAD Plant 3D 2026 Content\CPak Common\CustomScripts\CUST_STUBEND_LJ_A_BW_SCH40.py</t>
        </is>
      </c>
    </row>
    <row r="7">
      <c r="C7" t="inlineStr">
        <is>
          <t>CUST_STUBEND_LJ_A_BW_SCH40</t>
        </is>
      </c>
      <c r="D7" t="inlineStr">
        <is>
          <t>C:\AutoCAD Plant 3D 2026 Content\CPak Common\CustomScripts\CUST_STUBEND_LJ_A_BW_SCH40.py</t>
        </is>
      </c>
    </row>
    <row r="8">
      <c r="C8" t="inlineStr">
        <is>
          <t>CUST_STUBEND_LJ_A_BW_SCH40</t>
        </is>
      </c>
      <c r="D8" t="inlineStr">
        <is>
          <t>C:\AutoCAD Plant 3D 2026 Content\CPak Common\CustomScripts\CUST_STUBEND_LJ_A_BW_SCH40.py</t>
        </is>
      </c>
    </row>
    <row r="9">
      <c r="C9" t="inlineStr">
        <is>
          <t>CUST_STUBEND_LJ_A_BW_SCH40</t>
        </is>
      </c>
      <c r="D9" t="inlineStr">
        <is>
          <t>C:\AutoCAD Plant 3D 2026 Content\CPak Common\CustomScripts\CUST_STUBEND_LJ_A_BW_SCH40.py</t>
        </is>
      </c>
    </row>
    <row r="10">
      <c r="C10" t="inlineStr">
        <is>
          <t>CUST_STUBEND_LJ_A_BW_SCH40</t>
        </is>
      </c>
      <c r="D10" t="inlineStr">
        <is>
          <t>C:\AutoCAD Plant 3D 2026 Content\CPak Common\CustomScripts\CUST_STUBEND_LJ_A_BW_SCH40.py</t>
        </is>
      </c>
    </row>
    <row r="11">
      <c r="C11" t="inlineStr">
        <is>
          <t>CUST_STUBEND_LJ_A_BW_SCH40</t>
        </is>
      </c>
      <c r="D11" t="inlineStr">
        <is>
          <t>C:\AutoCAD Plant 3D 2026 Content\CPak Common\CustomScripts\CUST_STUBEND_LJ_A_BW_SCH40.py</t>
        </is>
      </c>
    </row>
    <row r="12">
      <c r="C12" t="inlineStr">
        <is>
          <t>CUST_STUBEND_LJ_A_BW_SCH40</t>
        </is>
      </c>
      <c r="D12" t="inlineStr">
        <is>
          <t>C:\AutoCAD Plant 3D 2026 Content\CPak Common\CustomScripts\CUST_STUBEND_LJ_A_BW_SCH40.py</t>
        </is>
      </c>
    </row>
    <row r="13">
      <c r="C13" t="inlineStr">
        <is>
          <t>CUST_STUBEND_LJ_A_BW_SCH40</t>
        </is>
      </c>
      <c r="D13" t="inlineStr">
        <is>
          <t>C:\AutoCAD Plant 3D 2026 Content\CPak Common\CustomScripts\CUST_STUBEND_LJ_A_BW_SCH40.py</t>
        </is>
      </c>
    </row>
    <row r="14">
      <c r="C14" t="inlineStr">
        <is>
          <t>CUST_STUBEND_LJ_A_BW_SCH40</t>
        </is>
      </c>
      <c r="D14" t="inlineStr">
        <is>
          <t>C:\AutoCAD Plant 3D 2026 Content\CPak Common\CustomScripts\CUST_STUBEND_LJ_A_BW_SCH40.py</t>
        </is>
      </c>
    </row>
    <row r="15">
      <c r="C15" t="inlineStr">
        <is>
          <t>CUST_STUBEND_LJ_A_BW_SCH40</t>
        </is>
      </c>
      <c r="D15" t="inlineStr">
        <is>
          <t>C:\AutoCAD Plant 3D 2026 Content\CPak Common\CustomScripts\CUST_STUBEND_LJ_A_BW_SCH40.py</t>
        </is>
      </c>
    </row>
    <row r="16">
      <c r="C16" t="inlineStr">
        <is>
          <t>CUST_STUBEND_LJ_A_BW_SCH40</t>
        </is>
      </c>
      <c r="D16" t="inlineStr">
        <is>
          <t>C:\AutoCAD Plant 3D 2026 Content\CPak Common\CustomScripts\CUST_STUBEND_LJ_A_BW_SCH40.py</t>
        </is>
      </c>
    </row>
    <row r="17">
      <c r="C17" t="inlineStr">
        <is>
          <t>CUST_STUBEND_LJ_A_BW_SCH40</t>
        </is>
      </c>
      <c r="D17" t="inlineStr">
        <is>
          <t>C:\AutoCAD Plant 3D 2026 Content\CPak Common\CustomScripts\CUST_STUBEND_LJ_A_BW_SCH40.py</t>
        </is>
      </c>
    </row>
    <row r="18">
      <c r="C18" t="inlineStr">
        <is>
          <t>CUST_STUBEND_LJ_A_BW_SCH40</t>
        </is>
      </c>
      <c r="D18" t="inlineStr">
        <is>
          <t>C:\AutoCAD Plant 3D 2026 Content\CPak Common\CustomScripts\CUST_STUBEND_LJ_A_BW_SCH40.py</t>
        </is>
      </c>
    </row>
    <row r="19">
      <c r="C19" t="inlineStr">
        <is>
          <t>CUST_STUBEND_LJ_A_BW_SCH40</t>
        </is>
      </c>
      <c r="D19" t="inlineStr">
        <is>
          <t>C:\AutoCAD Plant 3D 2026 Content\CPak Common\CustomScripts\CUST_STUBEND_LJ_A_BW_SCH40.py</t>
        </is>
      </c>
    </row>
    <row r="20">
      <c r="C20" t="inlineStr">
        <is>
          <t>CUST_STUBEND_LJ_A_BW_SCH40</t>
        </is>
      </c>
      <c r="D20" t="inlineStr">
        <is>
          <t>C:\AutoCAD Plant 3D 2026 Content\CPak Common\CustomScripts\CUST_STUBEND_LJ_A_BW_SCH40.py</t>
        </is>
      </c>
    </row>
    <row r="21">
      <c r="C21" t="inlineStr">
        <is>
          <t>CUST_STUBEND_LJ_A_BW_SCH40</t>
        </is>
      </c>
      <c r="D21" t="inlineStr">
        <is>
          <t>C:\AutoCAD Plant 3D 2026 Content\CPak Common\CustomScripts\CUST_STUBEND_LJ_A_BW_SCH40.py</t>
        </is>
      </c>
    </row>
    <row r="22">
      <c r="C22" t="inlineStr">
        <is>
          <t>CUST_STUBEND_LJ_A_BW_SCH40</t>
        </is>
      </c>
      <c r="D22" t="inlineStr">
        <is>
          <t>C:\AutoCAD Plant 3D 2026 Content\CPak Common\CustomScripts\CUST_STUBEND_LJ_A_BW_SCH40.py</t>
        </is>
      </c>
    </row>
    <row r="23">
      <c r="C23" t="inlineStr">
        <is>
          <t>CUST_STUBEND_LJ_A_BW_SCH40</t>
        </is>
      </c>
      <c r="D23" t="inlineStr">
        <is>
          <t>C:\AutoCAD Plant 3D 2026 Content\CPak Common\CustomScripts\CUST_STUBEND_LJ_A_BW_SCH40.py</t>
        </is>
      </c>
    </row>
    <row r="24">
      <c r="C24" t="inlineStr">
        <is>
          <t>CUST_STUBEND_LJ_A_BW_SCH40</t>
        </is>
      </c>
      <c r="D24" t="inlineStr">
        <is>
          <t>C:\AutoCAD Plant 3D 2026 Content\CPak Common\CustomScripts\CUST_STUBEND_LJ_A_BW_SCH40.py</t>
        </is>
      </c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J20"/>
  <sheetViews>
    <sheetView workbookViewId="0">
      <selection activeCell="A1" sqref="A1"/>
    </sheetView>
  </sheetViews>
  <sheetFormatPr baseColWidth="8" defaultColWidth="9.139196" defaultRowHeight="15"/>
  <cols>
    <col width="9.140625" customWidth="1" style="1" min="1" max="1"/>
    <col width="5.425781" bestFit="1" customWidth="1" style="1" min="2" max="2"/>
    <col width="19.285156" bestFit="1" customWidth="1" style="1" min="3" max="3"/>
    <col width="107.425781" bestFit="1" customWidth="1" style="1" min="4" max="4"/>
    <col width="3.710938" bestFit="1" customWidth="1" style="1" min="5" max="5"/>
    <col width="4.570312" bestFit="1" customWidth="1" style="1" min="6" max="6"/>
    <col width="32.425781" bestFit="1" customWidth="1" min="7" max="7"/>
    <col width="37.140625" bestFit="1" customWidth="1" min="8" max="8"/>
    <col width="15.855469" bestFit="1" customWidth="1" style="1" min="9" max="9"/>
    <col width="23" bestFit="1" customWidth="1" style="1" min="10" max="10"/>
    <col width="18.425781" bestFit="1" customWidth="1" style="1" min="11" max="11"/>
    <col width="22" bestFit="1" customWidth="1" style="1" min="12" max="12"/>
    <col width="14.425781" bestFit="1" customWidth="1" style="1" min="13" max="13"/>
    <col width="15.570312" bestFit="1" customWidth="1" style="1" min="14" max="14"/>
    <col width="15.855469" bestFit="1" customWidth="1" style="1" min="15" max="15"/>
    <col width="12.285156" bestFit="1" customWidth="1" style="1" min="16" max="16"/>
    <col width="21.570312" bestFit="1" customWidth="1" style="1" min="17" max="17"/>
    <col width="19.140625" bestFit="1" customWidth="1" style="1" min="18" max="18"/>
    <col width="15" bestFit="1" customWidth="1" style="1" min="19" max="19"/>
    <col width="19.710938" bestFit="1" customWidth="1" style="1" min="20" max="20"/>
    <col width="24.140625" bestFit="1" customWidth="1" style="1" min="21" max="21"/>
    <col width="16.710938" bestFit="1" customWidth="1" style="1" min="22" max="22"/>
    <col width="16" bestFit="1" customWidth="1" style="1" min="23" max="23"/>
    <col width="19.425781" bestFit="1" customWidth="1" style="1" min="24" max="24"/>
    <col width="9.855468999999999" bestFit="1" customWidth="1" style="1" min="25" max="25"/>
    <col width="42.425781" bestFit="1" customWidth="1" style="1" min="26" max="26"/>
    <col width="47.710938" bestFit="1" customWidth="1" style="1" min="27" max="27"/>
    <col width="8.570311999999999" bestFit="1" customWidth="1" style="1" min="28" max="28"/>
    <col width="13.285156" bestFit="1" customWidth="1" style="1" min="29" max="29"/>
    <col width="7.570312" bestFit="1" customWidth="1" style="1" min="30" max="30"/>
    <col width="11.425781" bestFit="1" customWidth="1" style="1" min="31" max="31"/>
    <col width="5.285156" bestFit="1" customWidth="1" style="1" min="32" max="33"/>
    <col width="36.285156" bestFit="1" customWidth="1" min="34" max="34"/>
    <col width="19" bestFit="1" customWidth="1" min="35" max="35"/>
    <col width="10" bestFit="1" customWidth="1" min="36" max="36"/>
    <col width="13.285156" bestFit="1" customWidth="1" style="1" min="37" max="37"/>
    <col width="9.710938000000001" bestFit="1" customWidth="1" style="1" min="38" max="38"/>
    <col width="20.425781" bestFit="1" customWidth="1" style="1" min="39" max="39"/>
    <col width="20.425781" bestFit="1" customWidth="1" min="40" max="40"/>
    <col width="22.425781" bestFit="1" customWidth="1" style="1" min="41" max="41"/>
    <col width="12.425781" bestFit="1" customWidth="1" min="42" max="42"/>
    <col width="26.855469" bestFit="1" customWidth="1" min="43" max="43"/>
    <col width="11.425781" bestFit="1" customWidth="1" min="44" max="44"/>
    <col width="6.425781" bestFit="1" customWidth="1" style="1" min="45" max="45"/>
    <col width="14.285156" bestFit="1" customWidth="1" min="46" max="46"/>
    <col width="22.710938" bestFit="1" customWidth="1" min="47" max="47"/>
    <col width="9.140625" customWidth="1" min="48" max="63"/>
  </cols>
  <sheetData>
    <row r="1">
      <c r="A1" s="1" t="inlineStr">
        <is>
          <t>GSK_FF_CL150,FL,150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DN</t>
        </is>
      </c>
      <c r="F1" s="1" t="inlineStr">
        <is>
          <t>T</t>
        </is>
      </c>
      <c r="G1" t="inlineStr">
        <is>
          <t>ContentGeometryParamDefinition</t>
        </is>
      </c>
      <c r="H1" t="inlineStr">
        <is>
          <t>SizeRecordId_S1</t>
        </is>
      </c>
      <c r="I1" s="77" t="inlineStr">
        <is>
          <t>PortName_S1</t>
        </is>
      </c>
      <c r="J1" s="1" t="inlineStr">
        <is>
          <t>NominalDiameter_S1</t>
        </is>
      </c>
      <c r="K1" s="1" t="inlineStr">
        <is>
          <t>NominalUnit_S1</t>
        </is>
      </c>
      <c r="L1" s="1" t="inlineStr">
        <is>
          <t>MatchingPipeOd_S1</t>
        </is>
      </c>
      <c r="M1" s="1" t="inlineStr">
        <is>
          <t>EndType_S1</t>
        </is>
      </c>
      <c r="N1" s="1" t="inlineStr">
        <is>
          <t>FlangeStd_S1</t>
        </is>
      </c>
      <c r="O1" s="1" t="inlineStr">
        <is>
          <t>GasketStd_S1</t>
        </is>
      </c>
      <c r="P1" s="1" t="inlineStr">
        <is>
          <t>Facing_S1</t>
        </is>
      </c>
      <c r="Q1" s="1" t="inlineStr">
        <is>
          <t>FlangeThickness_S1</t>
        </is>
      </c>
      <c r="R1" s="1" t="inlineStr">
        <is>
          <t>PressureClass_S1</t>
        </is>
      </c>
      <c r="S1" s="1" t="inlineStr">
        <is>
          <t>Schedule_S1</t>
        </is>
      </c>
      <c r="T1" s="1" t="inlineStr">
        <is>
          <t>WallThickness_S1</t>
        </is>
      </c>
      <c r="U1" s="1" t="inlineStr">
        <is>
          <t>EngagementLength_S1</t>
        </is>
      </c>
      <c r="V1" s="1" t="inlineStr">
        <is>
          <t>LengthUnit_S1</t>
        </is>
      </c>
      <c r="W1" t="inlineStr">
        <is>
          <t>SizeRecordId_S2</t>
        </is>
      </c>
      <c r="X1" t="inlineStr">
        <is>
          <t>PortName_S2</t>
        </is>
      </c>
      <c r="Y1" t="inlineStr">
        <is>
          <t>NominalDiameter_S2</t>
        </is>
      </c>
      <c r="Z1" t="inlineStr">
        <is>
          <t>NominalUnit_S2</t>
        </is>
      </c>
      <c r="AA1" t="inlineStr">
        <is>
          <t>MatchingPipeOd_S2</t>
        </is>
      </c>
      <c r="AB1" t="inlineStr">
        <is>
          <t>EndType_S2</t>
        </is>
      </c>
      <c r="AC1" t="inlineStr">
        <is>
          <t>FlangeStd_S2</t>
        </is>
      </c>
      <c r="AD1" t="inlineStr">
        <is>
          <t>GasketStd_S2</t>
        </is>
      </c>
      <c r="AE1" t="inlineStr">
        <is>
          <t>Facing_S2</t>
        </is>
      </c>
      <c r="AF1" t="inlineStr">
        <is>
          <t>FlangeThickness_S2</t>
        </is>
      </c>
      <c r="AG1" t="inlineStr">
        <is>
          <t>PressureClass_S2</t>
        </is>
      </c>
      <c r="AH1" t="inlineStr">
        <is>
          <t>Schedule_S2</t>
        </is>
      </c>
      <c r="AI1" t="inlineStr">
        <is>
          <t>WallThickness_S2</t>
        </is>
      </c>
      <c r="AJ1" t="inlineStr">
        <is>
          <t>EngagementLength_S2</t>
        </is>
      </c>
      <c r="AK1" t="inlineStr">
        <is>
          <t>LengthUnit_S2</t>
        </is>
      </c>
      <c r="AL1" s="1" t="inlineStr">
        <is>
          <t>ShortDescription</t>
        </is>
      </c>
      <c r="AM1" s="1" t="inlineStr">
        <is>
          <t>CompatibleStandard</t>
        </is>
      </c>
      <c r="AN1" s="1" t="inlineStr">
        <is>
          <t>DesignStd</t>
        </is>
      </c>
      <c r="AO1" s="1" t="inlineStr">
        <is>
          <t>PartFamilyLongDesc</t>
        </is>
      </c>
      <c r="AP1" s="1" t="inlineStr">
        <is>
          <t>PartSizeLongDesc</t>
        </is>
      </c>
      <c r="AQ1" s="1" t="inlineStr">
        <is>
          <t>Material</t>
        </is>
      </c>
      <c r="AR1" s="1" t="inlineStr">
        <is>
          <t>MaterialCode</t>
        </is>
      </c>
      <c r="AS1" s="1" t="inlineStr">
        <is>
          <t>Weight</t>
        </is>
      </c>
      <c r="AT1" s="1" t="inlineStr">
        <is>
          <t>WeightUnit</t>
        </is>
      </c>
      <c r="AU1" s="1" t="inlineStr">
        <is>
          <t>SKEY</t>
        </is>
      </c>
      <c r="AV1" s="1" t="inlineStr">
        <is>
          <t>TYPE</t>
        </is>
      </c>
      <c r="AW1" t="inlineStr">
        <is>
          <t>PartFamilyId</t>
        </is>
      </c>
      <c r="AX1" t="inlineStr">
        <is>
          <t>CatalogPartFamilyId</t>
        </is>
      </c>
      <c r="AY1" t="inlineStr">
        <is>
          <t>PartStatus</t>
        </is>
      </c>
      <c r="AZ1" s="1" t="inlineStr">
        <is>
          <t>Manufacturer</t>
        </is>
      </c>
      <c r="BA1" s="1" t="inlineStr">
        <is>
          <t>ItemCode</t>
        </is>
      </c>
      <c r="BB1" s="1" t="inlineStr">
        <is>
          <t>DesignPressureFactor</t>
        </is>
      </c>
      <c r="BC1" t="inlineStr">
        <is>
          <t>ConnectionPortCount</t>
        </is>
      </c>
      <c r="BD1" s="1" t="inlineStr">
        <is>
          <t>ComponentDesignation</t>
        </is>
      </c>
      <c r="BE1" t="inlineStr">
        <is>
          <t>PartCategory</t>
        </is>
      </c>
      <c r="BF1" t="inlineStr">
        <is>
          <t>ContentIsoSymbolDefinition</t>
        </is>
      </c>
      <c r="BG1" t="inlineStr">
        <is>
          <t>PartVersion</t>
        </is>
      </c>
      <c r="BH1" s="1" t="inlineStr">
        <is>
          <t>Status</t>
        </is>
      </c>
      <c r="BI1" t="inlineStr">
        <is>
          <t>PnPClassName</t>
        </is>
      </c>
      <c r="BJ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DN</t>
        </is>
      </c>
      <c r="F2" s="2" t="inlineStr">
        <is>
          <t>T</t>
        </is>
      </c>
      <c r="G2" s="2" t="inlineStr">
        <is>
          <t>ContentGeometryParamDefinition</t>
        </is>
      </c>
      <c r="H2" s="2" t="inlineStr">
        <is>
          <t>SizeRecordId_S1</t>
        </is>
      </c>
      <c r="I2" s="78" t="inlineStr">
        <is>
          <t>PortName_S1</t>
        </is>
      </c>
      <c r="J2" s="2" t="inlineStr">
        <is>
          <t>NominalDiameter_S1</t>
        </is>
      </c>
      <c r="K2" s="2" t="inlineStr">
        <is>
          <t>NominalUnit_S1</t>
        </is>
      </c>
      <c r="L2" s="2" t="inlineStr">
        <is>
          <t>MatchingPipeOd_S1</t>
        </is>
      </c>
      <c r="M2" s="2" t="inlineStr">
        <is>
          <t>EndType_S1</t>
        </is>
      </c>
      <c r="N2" s="2" t="inlineStr">
        <is>
          <t>FlangeStd_S1</t>
        </is>
      </c>
      <c r="O2" s="2" t="inlineStr">
        <is>
          <t>GasketStd_S1</t>
        </is>
      </c>
      <c r="P2" s="2" t="inlineStr">
        <is>
          <t>Facing_S1</t>
        </is>
      </c>
      <c r="Q2" s="2" t="inlineStr">
        <is>
          <t>FlangeThickness_S1</t>
        </is>
      </c>
      <c r="R2" s="2" t="inlineStr">
        <is>
          <t>PressureClass_S1</t>
        </is>
      </c>
      <c r="S2" s="2" t="inlineStr">
        <is>
          <t>Schedule_S1</t>
        </is>
      </c>
      <c r="T2" s="2" t="inlineStr">
        <is>
          <t>WallThickness_S1</t>
        </is>
      </c>
      <c r="U2" s="2" t="inlineStr">
        <is>
          <t>EngagementLength_S1</t>
        </is>
      </c>
      <c r="V2" s="2" t="inlineStr">
        <is>
          <t>LengthUnit_S1</t>
        </is>
      </c>
      <c r="W2" t="inlineStr">
        <is>
          <t>SizeRecordId_S2</t>
        </is>
      </c>
      <c r="X2" t="inlineStr">
        <is>
          <t>PortName_S2</t>
        </is>
      </c>
      <c r="Y2" t="inlineStr">
        <is>
          <t>NominalDiameter_S2</t>
        </is>
      </c>
      <c r="Z2" t="inlineStr">
        <is>
          <t>NominalUnit_S2</t>
        </is>
      </c>
      <c r="AA2" t="inlineStr">
        <is>
          <t>MatchingPipeOd_S2</t>
        </is>
      </c>
      <c r="AB2" t="inlineStr">
        <is>
          <t>EndType_S2</t>
        </is>
      </c>
      <c r="AC2" t="inlineStr">
        <is>
          <t>FlangeStd_S2</t>
        </is>
      </c>
      <c r="AD2" t="inlineStr">
        <is>
          <t>GasketStd_S2</t>
        </is>
      </c>
      <c r="AE2" t="inlineStr">
        <is>
          <t>Facing_S2</t>
        </is>
      </c>
      <c r="AF2" t="inlineStr">
        <is>
          <t>FlangeThickness_S2</t>
        </is>
      </c>
      <c r="AG2" t="inlineStr">
        <is>
          <t>PressureClass_S2</t>
        </is>
      </c>
      <c r="AH2" t="inlineStr">
        <is>
          <t>Schedule_S2</t>
        </is>
      </c>
      <c r="AI2" t="inlineStr">
        <is>
          <t>WallThickness_S2</t>
        </is>
      </c>
      <c r="AJ2" t="inlineStr">
        <is>
          <t>EngagementLength_S2</t>
        </is>
      </c>
      <c r="AK2" t="inlineStr">
        <is>
          <t>LengthUnit_S2</t>
        </is>
      </c>
      <c r="AL2" s="2" t="inlineStr">
        <is>
          <t>ShortDescription</t>
        </is>
      </c>
      <c r="AM2" s="2" t="inlineStr">
        <is>
          <t>CompatibleStandard</t>
        </is>
      </c>
      <c r="AN2" s="2" t="inlineStr">
        <is>
          <t>DesignStd</t>
        </is>
      </c>
      <c r="AO2" s="2" t="inlineStr">
        <is>
          <t>PartFamilyLongDesc</t>
        </is>
      </c>
      <c r="AP2" s="2" t="inlineStr">
        <is>
          <t>PartSizeLongDesc</t>
        </is>
      </c>
      <c r="AQ2" s="2" t="inlineStr">
        <is>
          <t>Material</t>
        </is>
      </c>
      <c r="AR2" s="2" t="inlineStr">
        <is>
          <t>MaterialCode</t>
        </is>
      </c>
      <c r="AS2" s="2" t="inlineStr">
        <is>
          <t>Weight</t>
        </is>
      </c>
      <c r="AT2" s="2" t="inlineStr">
        <is>
          <t>WeightUnit</t>
        </is>
      </c>
      <c r="AU2" s="2" t="inlineStr">
        <is>
          <t>SKEY</t>
        </is>
      </c>
      <c r="AV2" s="2" t="inlineStr">
        <is>
          <t>TYPE</t>
        </is>
      </c>
      <c r="AW2" s="2" t="inlineStr">
        <is>
          <t>PartFamilyId</t>
        </is>
      </c>
      <c r="AX2" s="2" t="inlineStr">
        <is>
          <t>CatalogPartFamilyId</t>
        </is>
      </c>
      <c r="AY2" s="2" t="inlineStr">
        <is>
          <t>PartStatus</t>
        </is>
      </c>
      <c r="AZ2" s="2" t="inlineStr">
        <is>
          <t>Manufacturer</t>
        </is>
      </c>
      <c r="BA2" s="2" t="inlineStr">
        <is>
          <t>ItemCode</t>
        </is>
      </c>
      <c r="BB2" s="2" t="inlineStr">
        <is>
          <t>DesignPressureFactor</t>
        </is>
      </c>
      <c r="BC2" s="2" t="inlineStr">
        <is>
          <t>ConnectionPortCount</t>
        </is>
      </c>
      <c r="BD2" s="2" t="inlineStr">
        <is>
          <t>ComponentDesignation</t>
        </is>
      </c>
      <c r="BE2" s="2" t="inlineStr">
        <is>
          <t>PartCategory</t>
        </is>
      </c>
      <c r="BF2" s="2" t="inlineStr">
        <is>
          <t>ContentIsoSymbolDefinition</t>
        </is>
      </c>
      <c r="BG2" s="2" t="inlineStr">
        <is>
          <t>PartVersion</t>
        </is>
      </c>
      <c r="BH2" s="2" t="inlineStr">
        <is>
          <t>Status</t>
        </is>
      </c>
      <c r="BI2" s="2" t="inlineStr">
        <is>
          <t>PnPClassName</t>
        </is>
      </c>
      <c r="BJ2" s="2" t="inlineStr">
        <is>
          <t>ExcelFormatVersion_2.0</t>
        </is>
      </c>
    </row>
    <row r="3">
      <c r="B3" s="1" t="inlineStr">
        <is>
          <t>15</t>
        </is>
      </c>
      <c r="C3" s="1" t="inlineStr">
        <is>
          <t>CUST_GSK_RF_CL150</t>
        </is>
      </c>
      <c r="D3" s="1" t="inlineStr">
        <is>
          <t>C:\AutoCAD Plant 3D 2026 Content\CPak Common\CustomScripts\CUST_GSK_RF_CL150.py</t>
        </is>
      </c>
      <c r="E3" s="1" t="inlineStr">
        <is>
          <t>15</t>
        </is>
      </c>
      <c r="F3" s="8" t="n">
        <v>1.5</v>
      </c>
      <c r="G3" t="inlineStr">
        <is>
          <t>DN,T</t>
        </is>
      </c>
      <c r="H3" t="inlineStr">
        <is>
          <t>dcbcb97a-b446-49a5-a686-149b081d8d7f</t>
        </is>
      </c>
      <c r="I3" s="77" t="inlineStr">
        <is>
          <t>ALL</t>
        </is>
      </c>
      <c r="J3" s="1" t="inlineStr">
        <is>
          <t>15</t>
        </is>
      </c>
      <c r="K3" s="1" t="inlineStr">
        <is>
          <t>mm</t>
        </is>
      </c>
      <c r="L3" s="1" t="inlineStr">
        <is>
          <t>21.34</t>
        </is>
      </c>
      <c r="M3" s="1" t="inlineStr">
        <is>
          <t>Undefined_ET</t>
        </is>
      </c>
      <c r="P3" s="1" t="inlineStr">
        <is>
          <t>RF</t>
        </is>
      </c>
      <c r="R3" s="1" t="inlineStr">
        <is>
          <t>150</t>
        </is>
      </c>
      <c r="T3" s="1" t="inlineStr">
        <is>
          <t>0</t>
        </is>
      </c>
      <c r="U3" s="1" t="inlineStr">
        <is>
          <t>0</t>
        </is>
      </c>
      <c r="V3" s="1" t="inlineStr">
        <is>
          <t>mm</t>
        </is>
      </c>
      <c r="AL3" s="1" t="inlineStr">
        <is>
          <t>GSK_RF_CL150</t>
        </is>
      </c>
      <c r="AO3" s="1" t="inlineStr">
        <is>
          <t>Gasket CNAF Ring-Type CL150 Klingersil C4500</t>
        </is>
      </c>
      <c r="AP3" s="1">
        <f>REPLACE(Z3, 12, 0, " DN" &amp; E3)</f>
        <v/>
      </c>
      <c r="AQ3" s="1" t="inlineStr">
        <is>
          <t>CNAF</t>
        </is>
      </c>
      <c r="AW3" t="inlineStr">
        <is>
          <t>ce58bef9-94c8-4641-b3c9-4c8c5712efb3</t>
        </is>
      </c>
      <c r="BC3" t="inlineStr">
        <is>
          <t>2</t>
        </is>
      </c>
      <c r="BE3" t="inlineStr">
        <is>
          <t>Fasteners</t>
        </is>
      </c>
      <c r="BI3" t="inlineStr">
        <is>
          <t>Gasket</t>
        </is>
      </c>
    </row>
    <row r="4">
      <c r="B4" s="1" t="inlineStr">
        <is>
          <t>20</t>
        </is>
      </c>
      <c r="C4" s="1" t="inlineStr">
        <is>
          <t>CUST_GSK_RF_CL150</t>
        </is>
      </c>
      <c r="D4" s="1" t="inlineStr">
        <is>
          <t>C:\AutoCAD Plant 3D 2026 Content\CPak Common\CustomScripts\CUST_GSK_RF_CL150.py</t>
        </is>
      </c>
      <c r="E4" s="1" t="inlineStr">
        <is>
          <t>20</t>
        </is>
      </c>
      <c r="F4" s="8" t="n">
        <v>1.5</v>
      </c>
      <c r="G4" t="inlineStr">
        <is>
          <t>DN,T</t>
        </is>
      </c>
      <c r="H4" t="inlineStr">
        <is>
          <t>c849322c-7799-4227-b286-fc0b5938ecdb</t>
        </is>
      </c>
      <c r="I4" s="77" t="inlineStr">
        <is>
          <t>ALL</t>
        </is>
      </c>
      <c r="J4" s="1" t="inlineStr">
        <is>
          <t>20</t>
        </is>
      </c>
      <c r="K4" s="1" t="inlineStr">
        <is>
          <t>mm</t>
        </is>
      </c>
      <c r="L4" s="1" t="inlineStr">
        <is>
          <t>26.67</t>
        </is>
      </c>
      <c r="M4" s="1" t="inlineStr">
        <is>
          <t>Undefined_ET</t>
        </is>
      </c>
      <c r="P4" s="1" t="inlineStr">
        <is>
          <t>RF</t>
        </is>
      </c>
      <c r="R4" s="1" t="inlineStr">
        <is>
          <t>150</t>
        </is>
      </c>
      <c r="T4" s="1" t="inlineStr">
        <is>
          <t>0</t>
        </is>
      </c>
      <c r="U4" s="1" t="inlineStr">
        <is>
          <t>0</t>
        </is>
      </c>
      <c r="V4" s="1" t="inlineStr">
        <is>
          <t>mm</t>
        </is>
      </c>
      <c r="AL4" s="1" t="inlineStr">
        <is>
          <t>GSK_RF_CL150</t>
        </is>
      </c>
      <c r="AO4" s="1" t="inlineStr">
        <is>
          <t>Gasket CNAF Ring-Type CL150 Klingersil C4500</t>
        </is>
      </c>
      <c r="AP4" s="1">
        <f>REPLACE(Z4, 12, 0, " DN" &amp; E4)</f>
        <v/>
      </c>
      <c r="AQ4" s="1" t="inlineStr">
        <is>
          <t>CNAF</t>
        </is>
      </c>
      <c r="AW4" t="inlineStr">
        <is>
          <t>ce58bef9-94c8-4641-b3c9-4c8c5712efb3</t>
        </is>
      </c>
      <c r="BC4" t="inlineStr">
        <is>
          <t>2</t>
        </is>
      </c>
      <c r="BE4" t="inlineStr">
        <is>
          <t>Fasteners</t>
        </is>
      </c>
      <c r="BI4" t="inlineStr">
        <is>
          <t>Gasket</t>
        </is>
      </c>
    </row>
    <row r="5">
      <c r="B5" s="1" t="inlineStr">
        <is>
          <t>25</t>
        </is>
      </c>
      <c r="C5" s="1" t="inlineStr">
        <is>
          <t>CUST_GSK_RF_CL150</t>
        </is>
      </c>
      <c r="D5" s="1" t="inlineStr">
        <is>
          <t>C:\AutoCAD Plant 3D 2026 Content\CPak Common\CustomScripts\CUST_GSK_RF_CL150.py</t>
        </is>
      </c>
      <c r="E5" s="1" t="inlineStr">
        <is>
          <t>25</t>
        </is>
      </c>
      <c r="F5" s="8" t="n">
        <v>1.5</v>
      </c>
      <c r="G5" t="inlineStr">
        <is>
          <t>DN,T</t>
        </is>
      </c>
      <c r="H5" t="inlineStr">
        <is>
          <t>d8def99d-6716-4af4-8163-bdec5d962eaf</t>
        </is>
      </c>
      <c r="I5" s="77" t="inlineStr">
        <is>
          <t>ALL</t>
        </is>
      </c>
      <c r="J5" s="1" t="inlineStr">
        <is>
          <t>25</t>
        </is>
      </c>
      <c r="K5" s="1" t="inlineStr">
        <is>
          <t>mm</t>
        </is>
      </c>
      <c r="L5" s="1" t="inlineStr">
        <is>
          <t>33.4</t>
        </is>
      </c>
      <c r="M5" s="1" t="inlineStr">
        <is>
          <t>Undefined_ET</t>
        </is>
      </c>
      <c r="P5" s="1" t="inlineStr">
        <is>
          <t>RF</t>
        </is>
      </c>
      <c r="R5" s="1" t="inlineStr">
        <is>
          <t>150</t>
        </is>
      </c>
      <c r="T5" s="1" t="inlineStr">
        <is>
          <t>0</t>
        </is>
      </c>
      <c r="U5" s="1" t="inlineStr">
        <is>
          <t>0</t>
        </is>
      </c>
      <c r="V5" s="1" t="inlineStr">
        <is>
          <t>mm</t>
        </is>
      </c>
      <c r="AL5" s="1" t="inlineStr">
        <is>
          <t>GSK_RF_CL150</t>
        </is>
      </c>
      <c r="AO5" s="1" t="inlineStr">
        <is>
          <t>Gasket CNAF Ring-Type CL150 Klingersil C4500</t>
        </is>
      </c>
      <c r="AP5" s="1">
        <f>REPLACE(Z5, 12, 0, " DN" &amp; E5)</f>
        <v/>
      </c>
      <c r="AQ5" s="1" t="inlineStr">
        <is>
          <t>CNAF</t>
        </is>
      </c>
      <c r="AW5" t="inlineStr">
        <is>
          <t>ce58bef9-94c8-4641-b3c9-4c8c5712efb3</t>
        </is>
      </c>
      <c r="BC5" t="inlineStr">
        <is>
          <t>2</t>
        </is>
      </c>
      <c r="BE5" t="inlineStr">
        <is>
          <t>Fasteners</t>
        </is>
      </c>
      <c r="BI5" t="inlineStr">
        <is>
          <t>Gasket</t>
        </is>
      </c>
    </row>
    <row r="6">
      <c r="B6" s="1" t="inlineStr">
        <is>
          <t>32</t>
        </is>
      </c>
      <c r="C6" s="1" t="inlineStr">
        <is>
          <t>CUST_GSK_RF_CL150</t>
        </is>
      </c>
      <c r="D6" s="1" t="inlineStr">
        <is>
          <t>C:\AutoCAD Plant 3D 2026 Content\CPak Common\CustomScripts\CUST_GSK_RF_CL150.py</t>
        </is>
      </c>
      <c r="E6" s="1" t="inlineStr">
        <is>
          <t>32</t>
        </is>
      </c>
      <c r="F6" s="8" t="n">
        <v>1.5</v>
      </c>
      <c r="G6" t="inlineStr">
        <is>
          <t>DN,T</t>
        </is>
      </c>
      <c r="H6" t="inlineStr">
        <is>
          <t>3f4634c7-439a-4495-a148-4ed5ffed066a</t>
        </is>
      </c>
      <c r="I6" s="77" t="inlineStr">
        <is>
          <t>ALL</t>
        </is>
      </c>
      <c r="J6" s="1" t="inlineStr">
        <is>
          <t>32</t>
        </is>
      </c>
      <c r="K6" s="1" t="inlineStr">
        <is>
          <t>mm</t>
        </is>
      </c>
      <c r="L6" s="1" t="inlineStr">
        <is>
          <t>42.16</t>
        </is>
      </c>
      <c r="M6" s="1" t="inlineStr">
        <is>
          <t>Undefined_ET</t>
        </is>
      </c>
      <c r="P6" s="1" t="inlineStr">
        <is>
          <t>RF</t>
        </is>
      </c>
      <c r="R6" s="1" t="inlineStr">
        <is>
          <t>150</t>
        </is>
      </c>
      <c r="T6" s="1" t="inlineStr">
        <is>
          <t>0</t>
        </is>
      </c>
      <c r="U6" s="1" t="inlineStr">
        <is>
          <t>0</t>
        </is>
      </c>
      <c r="V6" s="1" t="inlineStr">
        <is>
          <t>mm</t>
        </is>
      </c>
      <c r="AL6" s="1" t="inlineStr">
        <is>
          <t>GSK_RF_CL150</t>
        </is>
      </c>
      <c r="AO6" s="1" t="inlineStr">
        <is>
          <t>Gasket CNAF Ring-Type CL150 Klingersil C4500</t>
        </is>
      </c>
      <c r="AP6" s="1">
        <f>REPLACE(Z6, 12, 0, " DN" &amp; E6)</f>
        <v/>
      </c>
      <c r="AQ6" s="1" t="inlineStr">
        <is>
          <t>CNAF</t>
        </is>
      </c>
      <c r="AW6" t="inlineStr">
        <is>
          <t>ce58bef9-94c8-4641-b3c9-4c8c5712efb3</t>
        </is>
      </c>
      <c r="BC6" t="inlineStr">
        <is>
          <t>2</t>
        </is>
      </c>
      <c r="BE6" t="inlineStr">
        <is>
          <t>Fasteners</t>
        </is>
      </c>
      <c r="BI6" t="inlineStr">
        <is>
          <t>Gasket</t>
        </is>
      </c>
    </row>
    <row r="7">
      <c r="B7" s="1" t="inlineStr">
        <is>
          <t>40</t>
        </is>
      </c>
      <c r="C7" s="1" t="inlineStr">
        <is>
          <t>CUST_GSK_RF_CL150</t>
        </is>
      </c>
      <c r="D7" s="1" t="inlineStr">
        <is>
          <t>C:\AutoCAD Plant 3D 2026 Content\CPak Common\CustomScripts\CUST_GSK_RF_CL150.py</t>
        </is>
      </c>
      <c r="E7" s="1" t="inlineStr">
        <is>
          <t>40</t>
        </is>
      </c>
      <c r="F7" s="8" t="n">
        <v>1.5</v>
      </c>
      <c r="G7" t="inlineStr">
        <is>
          <t>DN,T</t>
        </is>
      </c>
      <c r="H7" t="inlineStr">
        <is>
          <t>092930d7-8188-480f-aeb1-edaccf660eb9</t>
        </is>
      </c>
      <c r="I7" s="77" t="inlineStr">
        <is>
          <t>ALL</t>
        </is>
      </c>
      <c r="J7" s="1" t="inlineStr">
        <is>
          <t>40</t>
        </is>
      </c>
      <c r="K7" s="1" t="inlineStr">
        <is>
          <t>mm</t>
        </is>
      </c>
      <c r="L7" s="1" t="inlineStr">
        <is>
          <t>48.26</t>
        </is>
      </c>
      <c r="M7" s="1" t="inlineStr">
        <is>
          <t>Undefined_ET</t>
        </is>
      </c>
      <c r="P7" s="1" t="inlineStr">
        <is>
          <t>RF</t>
        </is>
      </c>
      <c r="R7" s="1" t="inlineStr">
        <is>
          <t>150</t>
        </is>
      </c>
      <c r="T7" s="1" t="inlineStr">
        <is>
          <t>0</t>
        </is>
      </c>
      <c r="U7" s="1" t="inlineStr">
        <is>
          <t>0</t>
        </is>
      </c>
      <c r="V7" s="1" t="inlineStr">
        <is>
          <t>mm</t>
        </is>
      </c>
      <c r="AL7" s="1" t="inlineStr">
        <is>
          <t>GSK_RF_CL150</t>
        </is>
      </c>
      <c r="AO7" s="1" t="inlineStr">
        <is>
          <t>Gasket CNAF Ring-Type CL150 Klingersil C4500</t>
        </is>
      </c>
      <c r="AP7" s="1">
        <f>REPLACE(Z7, 12, 0, " DN" &amp; E7)</f>
        <v/>
      </c>
      <c r="AQ7" s="1" t="inlineStr">
        <is>
          <t>CNAF</t>
        </is>
      </c>
      <c r="AW7" t="inlineStr">
        <is>
          <t>ce58bef9-94c8-4641-b3c9-4c8c5712efb3</t>
        </is>
      </c>
      <c r="BC7" t="inlineStr">
        <is>
          <t>2</t>
        </is>
      </c>
      <c r="BE7" t="inlineStr">
        <is>
          <t>Fasteners</t>
        </is>
      </c>
      <c r="BI7" t="inlineStr">
        <is>
          <t>Gasket</t>
        </is>
      </c>
    </row>
    <row r="8">
      <c r="B8" s="1" t="inlineStr">
        <is>
          <t>50</t>
        </is>
      </c>
      <c r="C8" s="1" t="inlineStr">
        <is>
          <t>CUST_GSK_RF_CL150</t>
        </is>
      </c>
      <c r="D8" s="1" t="inlineStr">
        <is>
          <t>C:\AutoCAD Plant 3D 2026 Content\CPak Common\CustomScripts\CUST_GSK_RF_CL150.py</t>
        </is>
      </c>
      <c r="E8" s="1" t="inlineStr">
        <is>
          <t>50</t>
        </is>
      </c>
      <c r="F8" s="8" t="n">
        <v>1.5</v>
      </c>
      <c r="G8" t="inlineStr">
        <is>
          <t>DN,T</t>
        </is>
      </c>
      <c r="H8" t="inlineStr">
        <is>
          <t>f6b2a446-2d70-4d55-8bef-751d5a7e4772</t>
        </is>
      </c>
      <c r="I8" s="77" t="inlineStr">
        <is>
          <t>ALL</t>
        </is>
      </c>
      <c r="J8" s="1" t="inlineStr">
        <is>
          <t>50</t>
        </is>
      </c>
      <c r="K8" s="1" t="inlineStr">
        <is>
          <t>mm</t>
        </is>
      </c>
      <c r="L8" s="1" t="inlineStr">
        <is>
          <t>60.32</t>
        </is>
      </c>
      <c r="M8" s="1" t="inlineStr">
        <is>
          <t>Undefined_ET</t>
        </is>
      </c>
      <c r="P8" s="1" t="inlineStr">
        <is>
          <t>RF</t>
        </is>
      </c>
      <c r="R8" s="1" t="inlineStr">
        <is>
          <t>150</t>
        </is>
      </c>
      <c r="T8" s="1" t="inlineStr">
        <is>
          <t>0</t>
        </is>
      </c>
      <c r="U8" s="1" t="inlineStr">
        <is>
          <t>0</t>
        </is>
      </c>
      <c r="V8" s="1" t="inlineStr">
        <is>
          <t>mm</t>
        </is>
      </c>
      <c r="AL8" s="1" t="inlineStr">
        <is>
          <t>GSK_RF_CL150</t>
        </is>
      </c>
      <c r="AO8" s="1" t="inlineStr">
        <is>
          <t>Gasket CNAF Ring-Type CL150 Klingersil C4500</t>
        </is>
      </c>
      <c r="AP8" s="1">
        <f>REPLACE(Z8, 12, 0, " DN" &amp; E8)</f>
        <v/>
      </c>
      <c r="AQ8" s="1" t="inlineStr">
        <is>
          <t>CNAF</t>
        </is>
      </c>
      <c r="AW8" t="inlineStr">
        <is>
          <t>ce58bef9-94c8-4641-b3c9-4c8c5712efb3</t>
        </is>
      </c>
      <c r="BC8" t="inlineStr">
        <is>
          <t>2</t>
        </is>
      </c>
      <c r="BE8" t="inlineStr">
        <is>
          <t>Fasteners</t>
        </is>
      </c>
      <c r="BI8" t="inlineStr">
        <is>
          <t>Gasket</t>
        </is>
      </c>
    </row>
    <row r="9">
      <c r="B9" s="1" t="inlineStr">
        <is>
          <t>65</t>
        </is>
      </c>
      <c r="C9" s="1" t="inlineStr">
        <is>
          <t>CUST_GSK_RF_CL150</t>
        </is>
      </c>
      <c r="D9" s="1" t="inlineStr">
        <is>
          <t>C:\AutoCAD Plant 3D 2026 Content\CPak Common\CustomScripts\CUST_GSK_RF_CL150.py</t>
        </is>
      </c>
      <c r="E9" s="1" t="inlineStr">
        <is>
          <t>65</t>
        </is>
      </c>
      <c r="F9" s="8" t="n">
        <v>1.5</v>
      </c>
      <c r="G9" t="inlineStr">
        <is>
          <t>DN,T</t>
        </is>
      </c>
      <c r="H9" t="inlineStr">
        <is>
          <t>41c2b47a-2b4c-4954-b4a8-473f265721c1</t>
        </is>
      </c>
      <c r="I9" s="77" t="inlineStr">
        <is>
          <t>ALL</t>
        </is>
      </c>
      <c r="J9" s="1" t="inlineStr">
        <is>
          <t>65</t>
        </is>
      </c>
      <c r="K9" s="1" t="inlineStr">
        <is>
          <t>mm</t>
        </is>
      </c>
      <c r="L9" s="1" t="inlineStr">
        <is>
          <t>73.03</t>
        </is>
      </c>
      <c r="M9" s="1" t="inlineStr">
        <is>
          <t>Undefined_ET</t>
        </is>
      </c>
      <c r="P9" s="1" t="inlineStr">
        <is>
          <t>RF</t>
        </is>
      </c>
      <c r="R9" s="1" t="inlineStr">
        <is>
          <t>150</t>
        </is>
      </c>
      <c r="T9" s="1" t="inlineStr">
        <is>
          <t>0</t>
        </is>
      </c>
      <c r="U9" s="1" t="inlineStr">
        <is>
          <t>0</t>
        </is>
      </c>
      <c r="V9" s="1" t="inlineStr">
        <is>
          <t>mm</t>
        </is>
      </c>
      <c r="AL9" s="1" t="inlineStr">
        <is>
          <t>GSK_RF_CL150</t>
        </is>
      </c>
      <c r="AO9" s="1" t="inlineStr">
        <is>
          <t>Gasket CNAF Ring-Type CL150 Klingersil C4500</t>
        </is>
      </c>
      <c r="AP9" s="1">
        <f>REPLACE(Z9, 12, 0, " DN" &amp; E9)</f>
        <v/>
      </c>
      <c r="AQ9" s="1" t="inlineStr">
        <is>
          <t>CNAF</t>
        </is>
      </c>
      <c r="AW9" t="inlineStr">
        <is>
          <t>ce58bef9-94c8-4641-b3c9-4c8c5712efb3</t>
        </is>
      </c>
      <c r="BC9" t="inlineStr">
        <is>
          <t>2</t>
        </is>
      </c>
      <c r="BE9" t="inlineStr">
        <is>
          <t>Fasteners</t>
        </is>
      </c>
      <c r="BI9" t="inlineStr">
        <is>
          <t>Gasket</t>
        </is>
      </c>
    </row>
    <row r="10">
      <c r="B10" s="1" t="inlineStr">
        <is>
          <t>80</t>
        </is>
      </c>
      <c r="C10" s="1" t="inlineStr">
        <is>
          <t>CUST_GSK_RF_CL150</t>
        </is>
      </c>
      <c r="D10" s="1" t="inlineStr">
        <is>
          <t>C:\AutoCAD Plant 3D 2026 Content\CPak Common\CustomScripts\CUST_GSK_RF_CL150.py</t>
        </is>
      </c>
      <c r="E10" s="1" t="inlineStr">
        <is>
          <t>80</t>
        </is>
      </c>
      <c r="F10" s="8" t="n">
        <v>1.5</v>
      </c>
      <c r="G10" t="inlineStr">
        <is>
          <t>DN,T</t>
        </is>
      </c>
      <c r="H10" t="inlineStr">
        <is>
          <t>ac3f76e2-4146-4435-8410-8c89a7de96bb</t>
        </is>
      </c>
      <c r="I10" s="77" t="inlineStr">
        <is>
          <t>ALL</t>
        </is>
      </c>
      <c r="J10" s="1" t="inlineStr">
        <is>
          <t>80</t>
        </is>
      </c>
      <c r="K10" s="1" t="inlineStr">
        <is>
          <t>mm</t>
        </is>
      </c>
      <c r="L10" s="1" t="inlineStr">
        <is>
          <t>88.9</t>
        </is>
      </c>
      <c r="M10" s="1" t="inlineStr">
        <is>
          <t>Undefined_ET</t>
        </is>
      </c>
      <c r="P10" s="1" t="inlineStr">
        <is>
          <t>RF</t>
        </is>
      </c>
      <c r="R10" s="1" t="inlineStr">
        <is>
          <t>150</t>
        </is>
      </c>
      <c r="T10" s="1" t="inlineStr">
        <is>
          <t>0</t>
        </is>
      </c>
      <c r="U10" s="1" t="inlineStr">
        <is>
          <t>0</t>
        </is>
      </c>
      <c r="V10" s="1" t="inlineStr">
        <is>
          <t>mm</t>
        </is>
      </c>
      <c r="AL10" s="1" t="inlineStr">
        <is>
          <t>GSK_RF_CL150</t>
        </is>
      </c>
      <c r="AO10" s="1" t="inlineStr">
        <is>
          <t>Gasket CNAF Ring-Type CL150 Klingersil C4500</t>
        </is>
      </c>
      <c r="AP10" s="1">
        <f>REPLACE(Z10, 12, 0, " DN" &amp; E10)</f>
        <v/>
      </c>
      <c r="AQ10" s="1" t="inlineStr">
        <is>
          <t>CNAF</t>
        </is>
      </c>
      <c r="AW10" t="inlineStr">
        <is>
          <t>ce58bef9-94c8-4641-b3c9-4c8c5712efb3</t>
        </is>
      </c>
      <c r="BC10" t="inlineStr">
        <is>
          <t>2</t>
        </is>
      </c>
      <c r="BE10" t="inlineStr">
        <is>
          <t>Fasteners</t>
        </is>
      </c>
      <c r="BI10" t="inlineStr">
        <is>
          <t>Gasket</t>
        </is>
      </c>
    </row>
    <row r="11">
      <c r="B11" s="1" t="inlineStr">
        <is>
          <t>90</t>
        </is>
      </c>
      <c r="C11" s="1" t="inlineStr">
        <is>
          <t>CUST_GSK_RF_CL150</t>
        </is>
      </c>
      <c r="D11" s="1" t="inlineStr">
        <is>
          <t>C:\AutoCAD Plant 3D 2026 Content\CPak Common\CustomScripts\CUST_GSK_RF_CL150.py</t>
        </is>
      </c>
      <c r="E11" s="1" t="inlineStr">
        <is>
          <t>90</t>
        </is>
      </c>
      <c r="F11" s="8" t="n">
        <v>1.5</v>
      </c>
      <c r="G11" t="inlineStr">
        <is>
          <t>DN,T</t>
        </is>
      </c>
      <c r="H11" t="inlineStr">
        <is>
          <t>40806ab0-898e-4125-9692-e2447f6e7600</t>
        </is>
      </c>
      <c r="I11" s="77" t="inlineStr">
        <is>
          <t>ALL</t>
        </is>
      </c>
      <c r="J11" s="1" t="inlineStr">
        <is>
          <t>90</t>
        </is>
      </c>
      <c r="K11" s="1" t="inlineStr">
        <is>
          <t>mm</t>
        </is>
      </c>
      <c r="L11" s="1" t="inlineStr">
        <is>
          <t>90</t>
        </is>
      </c>
      <c r="M11" s="1" t="inlineStr">
        <is>
          <t>Undefined_ET</t>
        </is>
      </c>
      <c r="P11" s="1" t="inlineStr">
        <is>
          <t>RF</t>
        </is>
      </c>
      <c r="R11" s="1" t="inlineStr">
        <is>
          <t>150</t>
        </is>
      </c>
      <c r="T11" s="1" t="inlineStr">
        <is>
          <t>0</t>
        </is>
      </c>
      <c r="U11" s="1" t="inlineStr">
        <is>
          <t>0</t>
        </is>
      </c>
      <c r="V11" s="1" t="inlineStr">
        <is>
          <t>mm</t>
        </is>
      </c>
      <c r="AL11" s="1" t="inlineStr">
        <is>
          <t>GSK_RF_CL150</t>
        </is>
      </c>
      <c r="AO11" s="1" t="inlineStr">
        <is>
          <t>Gasket CNAF Ring-Type CL150 Klingersil C4500</t>
        </is>
      </c>
      <c r="AP11" s="1">
        <f>REPLACE(Z11, 12, 0, " DN" &amp; E11)</f>
        <v/>
      </c>
      <c r="AQ11" s="1" t="inlineStr">
        <is>
          <t>CNAF</t>
        </is>
      </c>
      <c r="AW11" t="inlineStr">
        <is>
          <t>ce58bef9-94c8-4641-b3c9-4c8c5712efb3</t>
        </is>
      </c>
      <c r="BC11" t="inlineStr">
        <is>
          <t>2</t>
        </is>
      </c>
      <c r="BE11" t="inlineStr">
        <is>
          <t>Fasteners</t>
        </is>
      </c>
      <c r="BI11" t="inlineStr">
        <is>
          <t>Gasket</t>
        </is>
      </c>
    </row>
    <row r="12">
      <c r="B12" s="1" t="inlineStr">
        <is>
          <t>100</t>
        </is>
      </c>
      <c r="C12" s="1" t="inlineStr">
        <is>
          <t>CUST_GSK_RF_CL150</t>
        </is>
      </c>
      <c r="D12" s="1" t="inlineStr">
        <is>
          <t>C:\AutoCAD Plant 3D 2026 Content\CPak Common\CustomScripts\CUST_GSK_RF_CL150.py</t>
        </is>
      </c>
      <c r="E12" s="1" t="inlineStr">
        <is>
          <t>100</t>
        </is>
      </c>
      <c r="F12" s="8" t="n">
        <v>1.5</v>
      </c>
      <c r="G12" t="inlineStr">
        <is>
          <t>DN,T</t>
        </is>
      </c>
      <c r="H12" t="inlineStr">
        <is>
          <t>0b15114a-1f7b-46ea-929a-3cf5e6c71709</t>
        </is>
      </c>
      <c r="I12" s="77" t="inlineStr">
        <is>
          <t>ALL</t>
        </is>
      </c>
      <c r="J12" s="1" t="inlineStr">
        <is>
          <t>100</t>
        </is>
      </c>
      <c r="K12" s="1" t="inlineStr">
        <is>
          <t>mm</t>
        </is>
      </c>
      <c r="L12" s="1" t="inlineStr">
        <is>
          <t>114.3</t>
        </is>
      </c>
      <c r="M12" s="1" t="inlineStr">
        <is>
          <t>Undefined_ET</t>
        </is>
      </c>
      <c r="P12" s="1" t="inlineStr">
        <is>
          <t>RF</t>
        </is>
      </c>
      <c r="R12" s="1" t="inlineStr">
        <is>
          <t>150</t>
        </is>
      </c>
      <c r="T12" s="1" t="inlineStr">
        <is>
          <t>0</t>
        </is>
      </c>
      <c r="U12" s="1" t="inlineStr">
        <is>
          <t>0</t>
        </is>
      </c>
      <c r="V12" s="1" t="inlineStr">
        <is>
          <t>mm</t>
        </is>
      </c>
      <c r="AL12" s="1" t="inlineStr">
        <is>
          <t>GSK_RF_CL150</t>
        </is>
      </c>
      <c r="AO12" s="1" t="inlineStr">
        <is>
          <t>Gasket CNAF Ring-Type CL150 Klingersil C4500</t>
        </is>
      </c>
      <c r="AP12" s="1">
        <f>REPLACE(Z12, 12, 0, " DN" &amp; E12)</f>
        <v/>
      </c>
      <c r="AQ12" s="1" t="inlineStr">
        <is>
          <t>CNAF</t>
        </is>
      </c>
      <c r="AW12" t="inlineStr">
        <is>
          <t>ce58bef9-94c8-4641-b3c9-4c8c5712efb3</t>
        </is>
      </c>
      <c r="BC12" t="inlineStr">
        <is>
          <t>2</t>
        </is>
      </c>
      <c r="BE12" t="inlineStr">
        <is>
          <t>Fasteners</t>
        </is>
      </c>
      <c r="BI12" t="inlineStr">
        <is>
          <t>Gasket</t>
        </is>
      </c>
    </row>
    <row r="13">
      <c r="B13" s="1" t="inlineStr">
        <is>
          <t>125</t>
        </is>
      </c>
      <c r="C13" s="1" t="inlineStr">
        <is>
          <t>CUST_GSK_RF_CL150</t>
        </is>
      </c>
      <c r="D13" s="1" t="inlineStr">
        <is>
          <t>C:\AutoCAD Plant 3D 2026 Content\CPak Common\CustomScripts\CUST_GSK_RF_CL150.py</t>
        </is>
      </c>
      <c r="E13" s="1" t="inlineStr">
        <is>
          <t>125</t>
        </is>
      </c>
      <c r="F13" s="8" t="n">
        <v>1.5</v>
      </c>
      <c r="G13" t="inlineStr">
        <is>
          <t>DN,T</t>
        </is>
      </c>
      <c r="H13" t="inlineStr">
        <is>
          <t>0ebd04fc-5fe8-4f04-ada9-ff7bf73ab864</t>
        </is>
      </c>
      <c r="I13" s="77" t="inlineStr">
        <is>
          <t>ALL</t>
        </is>
      </c>
      <c r="J13" s="1" t="inlineStr">
        <is>
          <t>125</t>
        </is>
      </c>
      <c r="K13" s="1" t="inlineStr">
        <is>
          <t>mm</t>
        </is>
      </c>
      <c r="L13" s="1" t="inlineStr">
        <is>
          <t>125</t>
        </is>
      </c>
      <c r="M13" s="1" t="inlineStr">
        <is>
          <t>Undefined_ET</t>
        </is>
      </c>
      <c r="P13" s="1" t="inlineStr">
        <is>
          <t>RF</t>
        </is>
      </c>
      <c r="R13" s="1" t="inlineStr">
        <is>
          <t>150</t>
        </is>
      </c>
      <c r="T13" s="1" t="inlineStr">
        <is>
          <t>0</t>
        </is>
      </c>
      <c r="U13" s="1" t="inlineStr">
        <is>
          <t>0</t>
        </is>
      </c>
      <c r="V13" s="1" t="inlineStr">
        <is>
          <t>mm</t>
        </is>
      </c>
      <c r="AL13" s="1" t="inlineStr">
        <is>
          <t>GSK_RF_CL150</t>
        </is>
      </c>
      <c r="AO13" s="1" t="inlineStr">
        <is>
          <t>Gasket CNAF Ring-Type CL150 Klingersil C4500</t>
        </is>
      </c>
      <c r="AP13" s="1">
        <f>REPLACE(Z13, 12, 0, " DN" &amp; E13)</f>
        <v/>
      </c>
      <c r="AQ13" s="1" t="inlineStr">
        <is>
          <t>CNAF</t>
        </is>
      </c>
      <c r="AW13" t="inlineStr">
        <is>
          <t>ce58bef9-94c8-4641-b3c9-4c8c5712efb3</t>
        </is>
      </c>
      <c r="BC13" t="inlineStr">
        <is>
          <t>2</t>
        </is>
      </c>
      <c r="BE13" t="inlineStr">
        <is>
          <t>Fasteners</t>
        </is>
      </c>
      <c r="BI13" t="inlineStr">
        <is>
          <t>Gasket</t>
        </is>
      </c>
    </row>
    <row r="14">
      <c r="B14" s="1" t="inlineStr">
        <is>
          <t>150</t>
        </is>
      </c>
      <c r="C14" s="1" t="inlineStr">
        <is>
          <t>CUST_GSK_RF_CL150</t>
        </is>
      </c>
      <c r="D14" s="1" t="inlineStr">
        <is>
          <t>C:\AutoCAD Plant 3D 2026 Content\CPak Common\CustomScripts\CUST_GSK_RF_CL150.py</t>
        </is>
      </c>
      <c r="E14" s="1" t="inlineStr">
        <is>
          <t>150</t>
        </is>
      </c>
      <c r="F14" s="8" t="n">
        <v>1.5</v>
      </c>
      <c r="G14" t="inlineStr">
        <is>
          <t>DN,T</t>
        </is>
      </c>
      <c r="H14" t="inlineStr">
        <is>
          <t>8fe73209-04fd-4e98-89f4-92cff664bd9e</t>
        </is>
      </c>
      <c r="I14" s="77" t="inlineStr">
        <is>
          <t>ALL</t>
        </is>
      </c>
      <c r="J14" s="1" t="inlineStr">
        <is>
          <t>150</t>
        </is>
      </c>
      <c r="K14" s="1" t="inlineStr">
        <is>
          <t>mm</t>
        </is>
      </c>
      <c r="L14" s="1" t="inlineStr">
        <is>
          <t>168.3</t>
        </is>
      </c>
      <c r="M14" s="1" t="inlineStr">
        <is>
          <t>Undefined_ET</t>
        </is>
      </c>
      <c r="P14" s="1" t="inlineStr">
        <is>
          <t>RF</t>
        </is>
      </c>
      <c r="R14" s="1" t="inlineStr">
        <is>
          <t>150</t>
        </is>
      </c>
      <c r="T14" s="1" t="inlineStr">
        <is>
          <t>0</t>
        </is>
      </c>
      <c r="U14" s="1" t="inlineStr">
        <is>
          <t>0</t>
        </is>
      </c>
      <c r="V14" s="1" t="inlineStr">
        <is>
          <t>mm</t>
        </is>
      </c>
      <c r="AL14" s="1" t="inlineStr">
        <is>
          <t>GSK_RF_CL150</t>
        </is>
      </c>
      <c r="AO14" s="1" t="inlineStr">
        <is>
          <t>Gasket CNAF Ring-Type CL150 Klingersil C4500</t>
        </is>
      </c>
      <c r="AP14" s="1">
        <f>REPLACE(Z14, 12, 0, " DN" &amp; E14)</f>
        <v/>
      </c>
      <c r="AQ14" s="1" t="inlineStr">
        <is>
          <t>CNAF</t>
        </is>
      </c>
      <c r="AW14" t="inlineStr">
        <is>
          <t>ce58bef9-94c8-4641-b3c9-4c8c5712efb3</t>
        </is>
      </c>
      <c r="BC14" t="inlineStr">
        <is>
          <t>2</t>
        </is>
      </c>
      <c r="BE14" t="inlineStr">
        <is>
          <t>Fasteners</t>
        </is>
      </c>
      <c r="BI14" t="inlineStr">
        <is>
          <t>Gasket</t>
        </is>
      </c>
    </row>
    <row r="15">
      <c r="B15" s="1" t="inlineStr">
        <is>
          <t>200</t>
        </is>
      </c>
      <c r="C15" s="1" t="inlineStr">
        <is>
          <t>CUST_GSK_RF_CL150</t>
        </is>
      </c>
      <c r="D15" s="1" t="inlineStr">
        <is>
          <t>C:\AutoCAD Plant 3D 2026 Content\CPak Common\CustomScripts\CUST_GSK_RF_CL150.py</t>
        </is>
      </c>
      <c r="E15" s="1" t="inlineStr">
        <is>
          <t>200</t>
        </is>
      </c>
      <c r="F15" s="8" t="n">
        <v>1.5</v>
      </c>
      <c r="G15" t="inlineStr">
        <is>
          <t>DN,T</t>
        </is>
      </c>
      <c r="H15" t="inlineStr">
        <is>
          <t>8b75d604-9be2-41f0-882c-fbeb07b054a0</t>
        </is>
      </c>
      <c r="I15" s="77" t="inlineStr">
        <is>
          <t>ALL</t>
        </is>
      </c>
      <c r="J15" s="1" t="inlineStr">
        <is>
          <t>200</t>
        </is>
      </c>
      <c r="K15" s="1" t="inlineStr">
        <is>
          <t>mm</t>
        </is>
      </c>
      <c r="L15" s="1" t="inlineStr">
        <is>
          <t>219.1</t>
        </is>
      </c>
      <c r="M15" s="1" t="inlineStr">
        <is>
          <t>Undefined_ET</t>
        </is>
      </c>
      <c r="P15" s="1" t="inlineStr">
        <is>
          <t>RF</t>
        </is>
      </c>
      <c r="R15" s="1" t="inlineStr">
        <is>
          <t>150</t>
        </is>
      </c>
      <c r="T15" s="1" t="inlineStr">
        <is>
          <t>0</t>
        </is>
      </c>
      <c r="U15" s="1" t="inlineStr">
        <is>
          <t>0</t>
        </is>
      </c>
      <c r="V15" s="1" t="inlineStr">
        <is>
          <t>mm</t>
        </is>
      </c>
      <c r="AL15" s="1" t="inlineStr">
        <is>
          <t>GSK_RF_CL150</t>
        </is>
      </c>
      <c r="AO15" s="1" t="inlineStr">
        <is>
          <t>Gasket CNAF Ring-Type CL150 Klingersil C4500</t>
        </is>
      </c>
      <c r="AP15" s="1">
        <f>REPLACE(Z15, 12, 0, " DN" &amp; E15)</f>
        <v/>
      </c>
      <c r="AQ15" s="1" t="inlineStr">
        <is>
          <t>CNAF</t>
        </is>
      </c>
      <c r="AW15" t="inlineStr">
        <is>
          <t>ce58bef9-94c8-4641-b3c9-4c8c5712efb3</t>
        </is>
      </c>
      <c r="BC15" t="inlineStr">
        <is>
          <t>2</t>
        </is>
      </c>
      <c r="BE15" t="inlineStr">
        <is>
          <t>Fasteners</t>
        </is>
      </c>
      <c r="BI15" t="inlineStr">
        <is>
          <t>Gasket</t>
        </is>
      </c>
    </row>
    <row r="16">
      <c r="B16" s="1" t="inlineStr">
        <is>
          <t>250</t>
        </is>
      </c>
      <c r="C16" s="1" t="inlineStr">
        <is>
          <t>CUST_GSK_RF_CL150</t>
        </is>
      </c>
      <c r="D16" s="1" t="inlineStr">
        <is>
          <t>C:\AutoCAD Plant 3D 2026 Content\CPak Common\CustomScripts\CUST_GSK_RF_CL150.py</t>
        </is>
      </c>
      <c r="E16" s="1" t="inlineStr">
        <is>
          <t>250</t>
        </is>
      </c>
      <c r="F16" s="8" t="n">
        <v>1.5</v>
      </c>
      <c r="G16" t="inlineStr">
        <is>
          <t>DN,T</t>
        </is>
      </c>
      <c r="H16" t="inlineStr">
        <is>
          <t>26227f05-19e8-49af-a3d6-db3d894df695</t>
        </is>
      </c>
      <c r="I16" s="77" t="inlineStr">
        <is>
          <t>ALL</t>
        </is>
      </c>
      <c r="J16" s="1" t="inlineStr">
        <is>
          <t>250</t>
        </is>
      </c>
      <c r="K16" s="1" t="inlineStr">
        <is>
          <t>mm</t>
        </is>
      </c>
      <c r="L16" s="1" t="inlineStr">
        <is>
          <t>273.1</t>
        </is>
      </c>
      <c r="M16" s="1" t="inlineStr">
        <is>
          <t>Undefined_ET</t>
        </is>
      </c>
      <c r="P16" s="1" t="inlineStr">
        <is>
          <t>RF</t>
        </is>
      </c>
      <c r="R16" s="1" t="inlineStr">
        <is>
          <t>150</t>
        </is>
      </c>
      <c r="T16" s="1" t="inlineStr">
        <is>
          <t>0</t>
        </is>
      </c>
      <c r="U16" s="1" t="inlineStr">
        <is>
          <t>0</t>
        </is>
      </c>
      <c r="V16" s="1" t="inlineStr">
        <is>
          <t>mm</t>
        </is>
      </c>
      <c r="AL16" s="1" t="inlineStr">
        <is>
          <t>GSK_RF_CL150</t>
        </is>
      </c>
      <c r="AO16" s="1" t="inlineStr">
        <is>
          <t>Gasket CNAF Ring-Type CL150 Klingersil C4500</t>
        </is>
      </c>
      <c r="AP16" s="1">
        <f>REPLACE(Z16, 12, 0, " DN" &amp; E16)</f>
        <v/>
      </c>
      <c r="AQ16" s="1" t="inlineStr">
        <is>
          <t>CNAF</t>
        </is>
      </c>
      <c r="AW16" t="inlineStr">
        <is>
          <t>ce58bef9-94c8-4641-b3c9-4c8c5712efb3</t>
        </is>
      </c>
      <c r="BC16" t="inlineStr">
        <is>
          <t>2</t>
        </is>
      </c>
      <c r="BE16" t="inlineStr">
        <is>
          <t>Fasteners</t>
        </is>
      </c>
      <c r="BI16" t="inlineStr">
        <is>
          <t>Gasket</t>
        </is>
      </c>
    </row>
    <row r="17">
      <c r="B17" s="1" t="inlineStr">
        <is>
          <t>300</t>
        </is>
      </c>
      <c r="C17" s="1" t="inlineStr">
        <is>
          <t>CUST_GSK_RF_CL150</t>
        </is>
      </c>
      <c r="D17" s="1" t="inlineStr">
        <is>
          <t>C:\AutoCAD Plant 3D 2026 Content\CPak Common\CustomScripts\CUST_GSK_RF_CL150.py</t>
        </is>
      </c>
      <c r="E17" s="1" t="inlineStr">
        <is>
          <t>300</t>
        </is>
      </c>
      <c r="F17" s="8" t="n">
        <v>1.5</v>
      </c>
      <c r="G17" t="inlineStr">
        <is>
          <t>DN,T</t>
        </is>
      </c>
      <c r="H17" t="inlineStr">
        <is>
          <t>a14d7064-724c-4119-80e6-b051fd56de69</t>
        </is>
      </c>
      <c r="I17" s="77" t="inlineStr">
        <is>
          <t>ALL</t>
        </is>
      </c>
      <c r="J17" s="1" t="inlineStr">
        <is>
          <t>300</t>
        </is>
      </c>
      <c r="K17" s="1" t="inlineStr">
        <is>
          <t>mm</t>
        </is>
      </c>
      <c r="L17" s="1" t="inlineStr">
        <is>
          <t>323.9</t>
        </is>
      </c>
      <c r="M17" s="1" t="inlineStr">
        <is>
          <t>Undefined_ET</t>
        </is>
      </c>
      <c r="P17" s="1" t="inlineStr">
        <is>
          <t>RF</t>
        </is>
      </c>
      <c r="R17" s="1" t="inlineStr">
        <is>
          <t>150</t>
        </is>
      </c>
      <c r="T17" s="1" t="inlineStr">
        <is>
          <t>0</t>
        </is>
      </c>
      <c r="U17" s="1" t="inlineStr">
        <is>
          <t>0</t>
        </is>
      </c>
      <c r="V17" s="1" t="inlineStr">
        <is>
          <t>mm</t>
        </is>
      </c>
      <c r="AL17" s="1" t="inlineStr">
        <is>
          <t>GSK_RF_CL150</t>
        </is>
      </c>
      <c r="AO17" s="1" t="inlineStr">
        <is>
          <t>Gasket CNAF Ring-Type CL150 Klingersil C4500</t>
        </is>
      </c>
      <c r="AP17" s="1">
        <f>REPLACE(Z17, 12, 0, " DN" &amp; E17)</f>
        <v/>
      </c>
      <c r="AQ17" s="1" t="inlineStr">
        <is>
          <t>CNAF</t>
        </is>
      </c>
      <c r="AW17" t="inlineStr">
        <is>
          <t>ce58bef9-94c8-4641-b3c9-4c8c5712efb3</t>
        </is>
      </c>
      <c r="BC17" t="inlineStr">
        <is>
          <t>2</t>
        </is>
      </c>
      <c r="BE17" t="inlineStr">
        <is>
          <t>Fasteners</t>
        </is>
      </c>
      <c r="BI17" t="inlineStr">
        <is>
          <t>Gasket</t>
        </is>
      </c>
    </row>
    <row r="18">
      <c r="B18" s="1" t="inlineStr">
        <is>
          <t>350</t>
        </is>
      </c>
      <c r="C18" s="1" t="inlineStr">
        <is>
          <t>CUST_GSK_RF_CL150</t>
        </is>
      </c>
      <c r="D18" s="1" t="inlineStr">
        <is>
          <t>C:\AutoCAD Plant 3D 2026 Content\CPak Common\CustomScripts\CUST_GSK_RF_CL150.py</t>
        </is>
      </c>
      <c r="E18" s="1" t="inlineStr">
        <is>
          <t>350</t>
        </is>
      </c>
      <c r="F18" s="8" t="n">
        <v>1.5</v>
      </c>
      <c r="G18" t="inlineStr">
        <is>
          <t>DN,T</t>
        </is>
      </c>
      <c r="H18" t="inlineStr">
        <is>
          <t>c39bf183-001d-4bd2-a524-6db7e54fc0c8</t>
        </is>
      </c>
      <c r="I18" s="77" t="inlineStr">
        <is>
          <t>ALL</t>
        </is>
      </c>
      <c r="J18" s="1" t="inlineStr">
        <is>
          <t>350</t>
        </is>
      </c>
      <c r="K18" s="1" t="inlineStr">
        <is>
          <t>mm</t>
        </is>
      </c>
      <c r="L18" s="1" t="inlineStr">
        <is>
          <t>355.6</t>
        </is>
      </c>
      <c r="M18" s="1" t="inlineStr">
        <is>
          <t>Undefined_ET</t>
        </is>
      </c>
      <c r="P18" s="1" t="inlineStr">
        <is>
          <t>RF</t>
        </is>
      </c>
      <c r="R18" s="1" t="inlineStr">
        <is>
          <t>150</t>
        </is>
      </c>
      <c r="T18" s="1" t="inlineStr">
        <is>
          <t>0</t>
        </is>
      </c>
      <c r="U18" s="1" t="inlineStr">
        <is>
          <t>0</t>
        </is>
      </c>
      <c r="V18" s="1" t="inlineStr">
        <is>
          <t>mm</t>
        </is>
      </c>
      <c r="AL18" s="1" t="inlineStr">
        <is>
          <t>GSK_RF_CL150</t>
        </is>
      </c>
      <c r="AO18" s="1" t="inlineStr">
        <is>
          <t>Gasket CNAF Ring-Type CL150 Klingersil C4500</t>
        </is>
      </c>
      <c r="AP18" s="1">
        <f>REPLACE(Z18, 12, 0, " DN" &amp; E18)</f>
        <v/>
      </c>
      <c r="AQ18" s="1" t="inlineStr">
        <is>
          <t>CNAF</t>
        </is>
      </c>
      <c r="AW18" t="inlineStr">
        <is>
          <t>ce58bef9-94c8-4641-b3c9-4c8c5712efb3</t>
        </is>
      </c>
      <c r="BC18" t="inlineStr">
        <is>
          <t>2</t>
        </is>
      </c>
      <c r="BE18" t="inlineStr">
        <is>
          <t>Fasteners</t>
        </is>
      </c>
      <c r="BI18" t="inlineStr">
        <is>
          <t>Gasket</t>
        </is>
      </c>
    </row>
    <row r="19">
      <c r="B19" s="1" t="inlineStr">
        <is>
          <t>400</t>
        </is>
      </c>
      <c r="C19" s="1" t="inlineStr">
        <is>
          <t>CUST_GSK_RF_CL150</t>
        </is>
      </c>
      <c r="D19" s="1" t="inlineStr">
        <is>
          <t>C:\AutoCAD Plant 3D 2026 Content\CPak Common\CustomScripts\CUST_GSK_RF_CL150.py</t>
        </is>
      </c>
      <c r="E19" s="1" t="inlineStr">
        <is>
          <t>400</t>
        </is>
      </c>
      <c r="F19" s="8" t="n">
        <v>1.5</v>
      </c>
      <c r="G19" t="inlineStr">
        <is>
          <t>DN,T</t>
        </is>
      </c>
      <c r="H19" t="inlineStr">
        <is>
          <t>cd94654b-3d00-4595-bfb9-9cfced3e31cb</t>
        </is>
      </c>
      <c r="I19" s="77" t="inlineStr">
        <is>
          <t>ALL</t>
        </is>
      </c>
      <c r="J19" s="1" t="inlineStr">
        <is>
          <t>400</t>
        </is>
      </c>
      <c r="K19" s="1" t="inlineStr">
        <is>
          <t>mm</t>
        </is>
      </c>
      <c r="L19" s="1" t="inlineStr">
        <is>
          <t>406.4</t>
        </is>
      </c>
      <c r="M19" s="1" t="inlineStr">
        <is>
          <t>Undefined_ET</t>
        </is>
      </c>
      <c r="P19" s="1" t="inlineStr">
        <is>
          <t>RF</t>
        </is>
      </c>
      <c r="R19" s="1" t="inlineStr">
        <is>
          <t>150</t>
        </is>
      </c>
      <c r="T19" s="1" t="inlineStr">
        <is>
          <t>0</t>
        </is>
      </c>
      <c r="U19" s="1" t="inlineStr">
        <is>
          <t>0</t>
        </is>
      </c>
      <c r="V19" s="1" t="inlineStr">
        <is>
          <t>mm</t>
        </is>
      </c>
      <c r="AL19" s="1" t="inlineStr">
        <is>
          <t>GSK_RF_CL150</t>
        </is>
      </c>
      <c r="AO19" s="1" t="inlineStr">
        <is>
          <t>Gasket CNAF Ring-Type CL150 Klingersil C4500</t>
        </is>
      </c>
      <c r="AP19" s="1">
        <f>REPLACE(Z19, 12, 0, " DN" &amp; E19)</f>
        <v/>
      </c>
      <c r="AQ19" s="1" t="inlineStr">
        <is>
          <t>CNAF</t>
        </is>
      </c>
      <c r="AW19" t="inlineStr">
        <is>
          <t>ce58bef9-94c8-4641-b3c9-4c8c5712efb3</t>
        </is>
      </c>
      <c r="BC19" t="inlineStr">
        <is>
          <t>2</t>
        </is>
      </c>
      <c r="BE19" t="inlineStr">
        <is>
          <t>Fasteners</t>
        </is>
      </c>
      <c r="BI19" t="inlineStr">
        <is>
          <t>Gasket</t>
        </is>
      </c>
    </row>
    <row r="20">
      <c r="B20" s="1" t="inlineStr">
        <is>
          <t>450</t>
        </is>
      </c>
      <c r="C20" s="1" t="inlineStr">
        <is>
          <t>CUST_GSK_RF_CL150</t>
        </is>
      </c>
      <c r="D20" s="1" t="inlineStr">
        <is>
          <t>C:\AutoCAD Plant 3D 2026 Content\CPak Common\CustomScripts\CUST_GSK_RF_CL150.py</t>
        </is>
      </c>
      <c r="E20" s="1" t="inlineStr">
        <is>
          <t>450</t>
        </is>
      </c>
      <c r="F20" s="8" t="n">
        <v>1.5</v>
      </c>
      <c r="G20" t="inlineStr">
        <is>
          <t>DN,T</t>
        </is>
      </c>
      <c r="H20" t="inlineStr">
        <is>
          <t>543a4fa6-dfe2-4a89-8814-24af04473321</t>
        </is>
      </c>
      <c r="I20" s="77" t="inlineStr">
        <is>
          <t>ALL</t>
        </is>
      </c>
      <c r="J20" s="1" t="inlineStr">
        <is>
          <t>450</t>
        </is>
      </c>
      <c r="K20" s="1" t="inlineStr">
        <is>
          <t>mm</t>
        </is>
      </c>
      <c r="L20" s="1" t="inlineStr">
        <is>
          <t>457.2</t>
        </is>
      </c>
      <c r="M20" s="1" t="inlineStr">
        <is>
          <t>Undefined_ET</t>
        </is>
      </c>
      <c r="P20" s="1" t="inlineStr">
        <is>
          <t>RF</t>
        </is>
      </c>
      <c r="R20" s="1" t="inlineStr">
        <is>
          <t>150</t>
        </is>
      </c>
      <c r="T20" s="1" t="inlineStr">
        <is>
          <t>0</t>
        </is>
      </c>
      <c r="U20" s="1" t="inlineStr">
        <is>
          <t>0</t>
        </is>
      </c>
      <c r="V20" s="1" t="inlineStr">
        <is>
          <t>mm</t>
        </is>
      </c>
      <c r="AL20" s="1" t="inlineStr">
        <is>
          <t>GSK_RF_CL150</t>
        </is>
      </c>
      <c r="AO20" s="1" t="inlineStr">
        <is>
          <t>Gasket CNAF Ring-Type CL150 Klingersil C4500</t>
        </is>
      </c>
      <c r="AP20" s="1">
        <f>REPLACE(Z20, 12, 0, " DN" &amp; E20)</f>
        <v/>
      </c>
      <c r="AQ20" s="1" t="inlineStr">
        <is>
          <t>CNAF</t>
        </is>
      </c>
      <c r="AW20" t="inlineStr">
        <is>
          <t>ce58bef9-94c8-4641-b3c9-4c8c5712efb3</t>
        </is>
      </c>
      <c r="BC20" t="inlineStr">
        <is>
          <t>2</t>
        </is>
      </c>
      <c r="BE20" t="inlineStr">
        <is>
          <t>Fasteners</t>
        </is>
      </c>
      <c r="BI20" t="inlineStr">
        <is>
          <t>Gasket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L5"/>
  <sheetViews>
    <sheetView topLeftCell="T2" workbookViewId="0">
      <selection activeCell="Z4" sqref="Z4"/>
    </sheetView>
  </sheetViews>
  <sheetFormatPr baseColWidth="8" defaultColWidth="9.139196" defaultRowHeight="15"/>
  <cols>
    <col width="9.140625" customWidth="1" style="1" min="1" max="1"/>
    <col width="5.425781" customWidth="1" style="1" min="2" max="2"/>
    <col width="29.855469" customWidth="1" style="1" min="3" max="3"/>
    <col width="118" customWidth="1" style="1" min="4" max="4"/>
    <col width="3.710938" customWidth="1" style="1" min="5" max="5"/>
    <col width="32.425781" customWidth="1" min="6" max="6"/>
    <col width="38.140625" customWidth="1" min="7" max="7"/>
    <col width="15.855469" customWidth="1" style="1" min="8" max="8"/>
    <col width="23" customWidth="1" style="1" min="9" max="9"/>
    <col width="18.425781" customWidth="1" style="1" min="10" max="10"/>
    <col width="22" customWidth="1" style="1" min="11" max="11"/>
    <col width="14.425781" customWidth="1" style="1" min="12" max="12"/>
    <col width="15.570312" customWidth="1" style="1" min="13" max="13"/>
    <col width="15.855469" customWidth="1" style="1" min="14" max="14"/>
    <col width="12.285156" customWidth="1" style="1" min="15" max="15"/>
    <col width="21.570312" customWidth="1" style="1" min="16" max="16"/>
    <col width="19.140625" customWidth="1" style="1" min="17" max="17"/>
    <col width="15" customWidth="1" style="1" min="18" max="18"/>
    <col width="19.710938" customWidth="1" style="1" min="19" max="19"/>
    <col width="24.140625" customWidth="1" style="1" min="20" max="20"/>
    <col width="16.710938" customWidth="1" style="1" min="21" max="21"/>
    <col width="24.140625" customWidth="1" style="1" min="22" max="22"/>
    <col width="19.425781" customWidth="1" style="1" min="23" max="23"/>
    <col width="9.855468999999999" customWidth="1" style="1" min="24" max="24"/>
    <col width="64.140625" customWidth="1" style="1" min="25" max="25"/>
    <col width="69.425781" customWidth="1" style="1" min="26" max="26"/>
    <col width="8.570311999999999" customWidth="1" style="1" min="27" max="27"/>
    <col width="13.285156" customWidth="1" style="1" min="28" max="28"/>
    <col width="7.570312" customWidth="1" style="1" min="29" max="29"/>
    <col width="11.425781" customWidth="1" style="1" min="30" max="30"/>
    <col width="5.285156" customWidth="1" style="1" min="31" max="32"/>
    <col width="37.285156" customWidth="1" min="33" max="33"/>
    <col width="19" customWidth="1" min="34" max="34"/>
    <col width="10" customWidth="1" min="35" max="35"/>
    <col width="13.285156" customWidth="1" style="1" min="36" max="36"/>
    <col width="9.710938000000001" customWidth="1" style="1" min="37" max="37"/>
    <col width="20.425781" customWidth="1" style="1" min="38" max="38"/>
    <col width="20.425781" customWidth="1" min="39" max="39"/>
    <col width="22.425781" customWidth="1" style="1" min="40" max="40"/>
    <col width="12.425781" customWidth="1" min="41" max="41"/>
    <col width="26.855469" customWidth="1" min="42" max="42"/>
    <col width="11.425781" customWidth="1" min="43" max="43"/>
    <col width="6.425781" customWidth="1" style="1" min="44" max="44"/>
    <col width="10.140625" customWidth="1" style="1" min="45" max="45"/>
    <col width="12" customWidth="1" style="1" min="46" max="46"/>
    <col width="14.285156" customWidth="1" style="1" min="47" max="47"/>
    <col width="14.285156" customWidth="1" min="48" max="48"/>
    <col width="22.710938" customWidth="1" min="49" max="49"/>
    <col width="9.140625" customWidth="1" min="50" max="65"/>
  </cols>
  <sheetData>
    <row r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DN</t>
        </is>
      </c>
      <c r="F1" t="inlineStr">
        <is>
          <t>ContentGeometryParamDefinition</t>
        </is>
      </c>
      <c r="G1" t="inlineStr">
        <is>
          <t>SizeRecordId_S1</t>
        </is>
      </c>
      <c r="H1" s="77" t="inlineStr">
        <is>
          <t>PortName_S1</t>
        </is>
      </c>
      <c r="I1" s="1" t="inlineStr">
        <is>
          <t>NominalDiameter_S1</t>
        </is>
      </c>
      <c r="J1" s="1" t="inlineStr">
        <is>
          <t>NominalUnit_S1</t>
        </is>
      </c>
      <c r="K1" s="1" t="inlineStr">
        <is>
          <t>MatchingPipeOd_S1</t>
        </is>
      </c>
      <c r="L1" s="1" t="inlineStr">
        <is>
          <t>EndType_S1</t>
        </is>
      </c>
      <c r="M1" s="1" t="inlineStr">
        <is>
          <t>FlangeStd_S1</t>
        </is>
      </c>
      <c r="N1" s="1" t="inlineStr">
        <is>
          <t>GasketStd_S1</t>
        </is>
      </c>
      <c r="O1" s="1" t="inlineStr">
        <is>
          <t>Facing_S1</t>
        </is>
      </c>
      <c r="P1" s="1" t="inlineStr">
        <is>
          <t>FlangeThickness_S1</t>
        </is>
      </c>
      <c r="Q1" s="1" t="inlineStr">
        <is>
          <t>PressureClass_S1</t>
        </is>
      </c>
      <c r="R1" s="1" t="inlineStr">
        <is>
          <t>Schedule_S1</t>
        </is>
      </c>
      <c r="S1" s="1" t="inlineStr">
        <is>
          <t>WallThickness_S1</t>
        </is>
      </c>
      <c r="T1" s="1" t="inlineStr">
        <is>
          <t>EngagementLength_S1</t>
        </is>
      </c>
      <c r="U1" s="1" t="inlineStr">
        <is>
          <t>LengthUnit_S1</t>
        </is>
      </c>
      <c r="V1" t="inlineStr">
        <is>
          <t>SizeRecordId_S2</t>
        </is>
      </c>
      <c r="W1" t="inlineStr">
        <is>
          <t>PortName_S2</t>
        </is>
      </c>
      <c r="X1" t="inlineStr">
        <is>
          <t>NominalDiameter_S2</t>
        </is>
      </c>
      <c r="Y1" t="inlineStr">
        <is>
          <t>NominalUnit_S2</t>
        </is>
      </c>
      <c r="Z1" t="inlineStr">
        <is>
          <t>MatchingPipeOd_S2</t>
        </is>
      </c>
      <c r="AA1" t="inlineStr">
        <is>
          <t>EndType_S2</t>
        </is>
      </c>
      <c r="AB1" t="inlineStr">
        <is>
          <t>FlangeStd_S2</t>
        </is>
      </c>
      <c r="AC1" t="inlineStr">
        <is>
          <t>GasketStd_S2</t>
        </is>
      </c>
      <c r="AD1" t="inlineStr">
        <is>
          <t>Facing_S2</t>
        </is>
      </c>
      <c r="AE1" t="inlineStr">
        <is>
          <t>FlangeThickness_S2</t>
        </is>
      </c>
      <c r="AF1" t="inlineStr">
        <is>
          <t>PressureClass_S2</t>
        </is>
      </c>
      <c r="AG1" t="inlineStr">
        <is>
          <t>Schedule_S2</t>
        </is>
      </c>
      <c r="AH1" t="inlineStr">
        <is>
          <t>WallThickness_S2</t>
        </is>
      </c>
      <c r="AI1" t="inlineStr">
        <is>
          <t>EngagementLength_S2</t>
        </is>
      </c>
      <c r="AJ1" t="inlineStr">
        <is>
          <t>LengthUnit_S2</t>
        </is>
      </c>
      <c r="AK1" s="1" t="inlineStr">
        <is>
          <t>ShortDescription</t>
        </is>
      </c>
      <c r="AL1" s="1" t="inlineStr">
        <is>
          <t>CompatibleStandard</t>
        </is>
      </c>
      <c r="AM1" s="1" t="inlineStr">
        <is>
          <t>DesignStd</t>
        </is>
      </c>
      <c r="AN1" s="1" t="inlineStr">
        <is>
          <t>PartFamilyLongDesc</t>
        </is>
      </c>
      <c r="AO1" s="1" t="inlineStr">
        <is>
          <t>PartSizeLongDesc</t>
        </is>
      </c>
      <c r="AP1" s="1" t="inlineStr">
        <is>
          <t>Material</t>
        </is>
      </c>
      <c r="AQ1" s="1" t="inlineStr">
        <is>
          <t>MaterialCode</t>
        </is>
      </c>
      <c r="AR1" s="1" t="inlineStr">
        <is>
          <t>Weight</t>
        </is>
      </c>
      <c r="AS1" s="1" t="inlineStr">
        <is>
          <t>WeightUnit</t>
        </is>
      </c>
      <c r="AT1" s="1" t="inlineStr">
        <is>
          <t>SKEY</t>
        </is>
      </c>
      <c r="AU1" s="1" t="inlineStr">
        <is>
          <t>TYPE</t>
        </is>
      </c>
      <c r="AV1" t="inlineStr">
        <is>
          <t>PartFamilyId</t>
        </is>
      </c>
      <c r="AW1" t="inlineStr">
        <is>
          <t>CatalogPartFamilyId</t>
        </is>
      </c>
      <c r="AX1" t="inlineStr">
        <is>
          <t>PartStatus</t>
        </is>
      </c>
      <c r="AY1" s="1" t="inlineStr">
        <is>
          <t>Manufacturer</t>
        </is>
      </c>
      <c r="AZ1" s="1" t="inlineStr">
        <is>
          <t>ItemCode</t>
        </is>
      </c>
      <c r="BA1" s="1" t="inlineStr">
        <is>
          <t>DesignPressureFactor</t>
        </is>
      </c>
      <c r="BB1" t="inlineStr">
        <is>
          <t>ConnectionPortCount</t>
        </is>
      </c>
      <c r="BC1" s="1" t="inlineStr">
        <is>
          <t>ComponentDesignation</t>
        </is>
      </c>
      <c r="BD1" t="inlineStr">
        <is>
          <t>PartCategory</t>
        </is>
      </c>
      <c r="BE1" t="inlineStr">
        <is>
          <t>ContentIsoSymbolDefinition</t>
        </is>
      </c>
      <c r="BF1" t="inlineStr">
        <is>
          <t>PartVersion</t>
        </is>
      </c>
      <c r="BG1" s="1" t="inlineStr">
        <is>
          <t>Status</t>
        </is>
      </c>
      <c r="BH1" s="1" t="inlineStr">
        <is>
          <t>PathAngle</t>
        </is>
      </c>
      <c r="BI1" s="1" t="inlineStr">
        <is>
          <t>CurveRadius</t>
        </is>
      </c>
      <c r="BJ1" s="1" t="inlineStr">
        <is>
          <t>SegmentCount</t>
        </is>
      </c>
      <c r="BK1" t="inlineStr">
        <is>
          <t>PnPClassName</t>
        </is>
      </c>
      <c r="BL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DN</t>
        </is>
      </c>
      <c r="F2" s="2" t="inlineStr">
        <is>
          <t>ContentGeometryParamDefinition</t>
        </is>
      </c>
      <c r="G2" s="2" t="inlineStr">
        <is>
          <t>SizeRecordId_S1</t>
        </is>
      </c>
      <c r="H2" s="78" t="inlineStr">
        <is>
          <t>PortName_S1</t>
        </is>
      </c>
      <c r="I2" s="2" t="inlineStr">
        <is>
          <t>NominalDiameter_S1</t>
        </is>
      </c>
      <c r="J2" s="2" t="inlineStr">
        <is>
          <t>NominalUnit_S1</t>
        </is>
      </c>
      <c r="K2" s="2" t="inlineStr">
        <is>
          <t>MatchingPipeOd_S1</t>
        </is>
      </c>
      <c r="L2" s="2" t="inlineStr">
        <is>
          <t>EndType_S1</t>
        </is>
      </c>
      <c r="M2" s="2" t="inlineStr">
        <is>
          <t>FlangeStd_S1</t>
        </is>
      </c>
      <c r="N2" s="2" t="inlineStr">
        <is>
          <t>GasketStd_S1</t>
        </is>
      </c>
      <c r="O2" s="2" t="inlineStr">
        <is>
          <t>Facing_S1</t>
        </is>
      </c>
      <c r="P2" s="2" t="inlineStr">
        <is>
          <t>FlangeThickness_S1</t>
        </is>
      </c>
      <c r="Q2" s="2" t="inlineStr">
        <is>
          <t>PressureClass_S1</t>
        </is>
      </c>
      <c r="R2" s="2" t="inlineStr">
        <is>
          <t>Schedule_S1</t>
        </is>
      </c>
      <c r="S2" s="2" t="inlineStr">
        <is>
          <t>WallThickness_S1</t>
        </is>
      </c>
      <c r="T2" s="2" t="inlineStr">
        <is>
          <t>EngagementLength_S1</t>
        </is>
      </c>
      <c r="U2" s="2" t="inlineStr">
        <is>
          <t>LengthUnit_S1</t>
        </is>
      </c>
      <c r="V2" t="inlineStr">
        <is>
          <t>SizeRecordId_S2</t>
        </is>
      </c>
      <c r="W2" t="inlineStr">
        <is>
          <t>PortName_S2</t>
        </is>
      </c>
      <c r="X2" t="inlineStr">
        <is>
          <t>NominalDiameter_S2</t>
        </is>
      </c>
      <c r="Y2" t="inlineStr">
        <is>
          <t>NominalUnit_S2</t>
        </is>
      </c>
      <c r="Z2" t="inlineStr">
        <is>
          <t>MatchingPipeOd_S2</t>
        </is>
      </c>
      <c r="AA2" t="inlineStr">
        <is>
          <t>EndType_S2</t>
        </is>
      </c>
      <c r="AB2" t="inlineStr">
        <is>
          <t>FlangeStd_S2</t>
        </is>
      </c>
      <c r="AC2" t="inlineStr">
        <is>
          <t>GasketStd_S2</t>
        </is>
      </c>
      <c r="AD2" t="inlineStr">
        <is>
          <t>Facing_S2</t>
        </is>
      </c>
      <c r="AE2" t="inlineStr">
        <is>
          <t>FlangeThickness_S2</t>
        </is>
      </c>
      <c r="AF2" t="inlineStr">
        <is>
          <t>PressureClass_S2</t>
        </is>
      </c>
      <c r="AG2" t="inlineStr">
        <is>
          <t>Schedule_S2</t>
        </is>
      </c>
      <c r="AH2" t="inlineStr">
        <is>
          <t>WallThickness_S2</t>
        </is>
      </c>
      <c r="AI2" t="inlineStr">
        <is>
          <t>EngagementLength_S2</t>
        </is>
      </c>
      <c r="AJ2" t="inlineStr">
        <is>
          <t>LengthUnit_S2</t>
        </is>
      </c>
      <c r="AK2" s="2" t="inlineStr">
        <is>
          <t>ShortDescription</t>
        </is>
      </c>
      <c r="AL2" s="2" t="inlineStr">
        <is>
          <t>CompatibleStandard</t>
        </is>
      </c>
      <c r="AM2" s="2" t="inlineStr">
        <is>
          <t>DesignStd</t>
        </is>
      </c>
      <c r="AN2" s="2" t="inlineStr">
        <is>
          <t>PartFamilyLongDesc</t>
        </is>
      </c>
      <c r="AO2" s="2" t="inlineStr">
        <is>
          <t>PartSizeLongDesc</t>
        </is>
      </c>
      <c r="AP2" s="2" t="inlineStr">
        <is>
          <t>Material</t>
        </is>
      </c>
      <c r="AQ2" s="2" t="inlineStr">
        <is>
          <t>MaterialCode</t>
        </is>
      </c>
      <c r="AR2" s="2" t="inlineStr">
        <is>
          <t>Weight</t>
        </is>
      </c>
      <c r="AS2" s="2" t="inlineStr">
        <is>
          <t>WeightUnit</t>
        </is>
      </c>
      <c r="AT2" s="2" t="inlineStr">
        <is>
          <t>SKEY</t>
        </is>
      </c>
      <c r="AU2" s="2" t="inlineStr">
        <is>
          <t>TYPE</t>
        </is>
      </c>
      <c r="AV2" s="2" t="inlineStr">
        <is>
          <t>PartFamilyId</t>
        </is>
      </c>
      <c r="AW2" s="2" t="inlineStr">
        <is>
          <t>CatalogPartFamilyId</t>
        </is>
      </c>
      <c r="AX2" s="2" t="inlineStr">
        <is>
          <t>PartStatus</t>
        </is>
      </c>
      <c r="AY2" s="2" t="inlineStr">
        <is>
          <t>Manufacturer</t>
        </is>
      </c>
      <c r="AZ2" s="2" t="inlineStr">
        <is>
          <t>ItemCode</t>
        </is>
      </c>
      <c r="BA2" s="2" t="inlineStr">
        <is>
          <t>DesignPressureFactor</t>
        </is>
      </c>
      <c r="BB2" s="2" t="inlineStr">
        <is>
          <t>ConnectionPortCount</t>
        </is>
      </c>
      <c r="BC2" s="2" t="inlineStr">
        <is>
          <t>ComponentDesignation</t>
        </is>
      </c>
      <c r="BD2" s="2" t="inlineStr">
        <is>
          <t>PartCategory</t>
        </is>
      </c>
      <c r="BE2" s="2" t="inlineStr">
        <is>
          <t>ContentIsoSymbolDefinition</t>
        </is>
      </c>
      <c r="BF2" s="2" t="inlineStr">
        <is>
          <t>PartVersion</t>
        </is>
      </c>
      <c r="BG2" s="2" t="inlineStr">
        <is>
          <t>Status</t>
        </is>
      </c>
      <c r="BH2" s="2" t="inlineStr">
        <is>
          <t>PathAngle</t>
        </is>
      </c>
      <c r="BI2" s="2" t="inlineStr">
        <is>
          <t>CurveRadius</t>
        </is>
      </c>
      <c r="BJ2" s="2" t="inlineStr">
        <is>
          <t>SegmentCount</t>
        </is>
      </c>
      <c r="BK2" s="2" t="inlineStr">
        <is>
          <t>PnPClassName</t>
        </is>
      </c>
      <c r="BL2" s="2" t="inlineStr">
        <is>
          <t>ExcelFormatVersion_2.0</t>
        </is>
      </c>
    </row>
    <row r="3">
      <c r="A3" s="1" t="n"/>
      <c r="B3" s="1" t="n"/>
      <c r="C3" s="1" t="n"/>
      <c r="D3" s="1" t="n"/>
      <c r="E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J3" s="1" t="n"/>
      <c r="AK3" s="1" t="n"/>
      <c r="AL3" s="1" t="n"/>
      <c r="AN3" s="1" t="n"/>
      <c r="AR3" s="1" t="n"/>
      <c r="AS3" s="1" t="n"/>
      <c r="AT3" s="1" t="n"/>
      <c r="AU3" s="1" t="n"/>
    </row>
    <row r="4">
      <c r="A4" s="1" t="n"/>
      <c r="B4" s="1" t="n"/>
      <c r="C4" s="1" t="n"/>
      <c r="D4" s="1" t="n"/>
      <c r="E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J4" s="1" t="n"/>
      <c r="AK4" s="1" t="n"/>
      <c r="AL4" s="1" t="n"/>
      <c r="AN4" s="1" t="n"/>
      <c r="AR4" s="1" t="n"/>
      <c r="AS4" s="1" t="n"/>
      <c r="AT4" s="1" t="n"/>
      <c r="AU4" s="1" t="n"/>
    </row>
    <row r="5">
      <c r="A5" s="1" t="n"/>
      <c r="B5" s="1" t="n"/>
      <c r="C5" s="1" t="n"/>
      <c r="D5" s="1" t="n"/>
      <c r="E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J5" s="1" t="n"/>
      <c r="AK5" s="1" t="n"/>
      <c r="AL5" s="1" t="n"/>
      <c r="AN5" s="1" t="n"/>
      <c r="AR5" s="1" t="n"/>
      <c r="AS5" s="1" t="n"/>
      <c r="AT5" s="1" t="n"/>
      <c r="AU5" s="1" t="n"/>
    </row>
  </sheetData>
  <dataValidations count="2">
    <dataValidation sqref="I3:I20 K3:K20 P3:P20 S3:T20 AC3:AC20 AI3:AI20 AM3:AM20 AS3:AU20" showDropDown="0" showInputMessage="1" showErrorMessage="1" allowBlank="1" errorTitle="" error="" promptTitle="" prompt="" type="decimal" errorStyle="stop" operator="between">
      <formula1>-5</formula1>
      <formula2>100000</formula2>
    </dataValidation>
    <dataValidation sqref="AD3:AD20" showDropDown="0" showInputMessage="1" showErrorMessage="1" allowBlank="1" errorTitle="" error="" promptTitle="" prompt="" type="list" errorStyle="stop" operator="between">
      <formula1>"LB,KG"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L5"/>
  <sheetViews>
    <sheetView topLeftCell="T2" workbookViewId="0">
      <selection activeCell="Z4" sqref="Z4"/>
    </sheetView>
  </sheetViews>
  <sheetFormatPr baseColWidth="8" defaultColWidth="9.139196" defaultRowHeight="15"/>
  <cols>
    <col width="9.140625" customWidth="1" style="1" min="1" max="1"/>
    <col width="5.425781" customWidth="1" style="1" min="2" max="2"/>
    <col width="29.855469" customWidth="1" style="1" min="3" max="3"/>
    <col width="118" customWidth="1" style="1" min="4" max="4"/>
    <col width="3.710938" customWidth="1" style="1" min="5" max="5"/>
    <col width="32.425781" customWidth="1" min="6" max="6"/>
    <col width="38.140625" customWidth="1" min="7" max="7"/>
    <col width="15.855469" customWidth="1" style="1" min="8" max="8"/>
    <col width="23" customWidth="1" style="1" min="9" max="9"/>
    <col width="18.425781" customWidth="1" style="1" min="10" max="10"/>
    <col width="22" customWidth="1" style="1" min="11" max="11"/>
    <col width="14.425781" customWidth="1" style="1" min="12" max="12"/>
    <col width="15.570312" customWidth="1" style="1" min="13" max="13"/>
    <col width="15.855469" customWidth="1" style="1" min="14" max="14"/>
    <col width="12.285156" customWidth="1" style="1" min="15" max="15"/>
    <col width="21.570312" customWidth="1" style="1" min="16" max="16"/>
    <col width="19.140625" customWidth="1" style="1" min="17" max="17"/>
    <col width="15" customWidth="1" style="1" min="18" max="18"/>
    <col width="19.710938" customWidth="1" style="1" min="19" max="19"/>
    <col width="24.140625" customWidth="1" style="1" min="20" max="20"/>
    <col width="16.710938" customWidth="1" style="1" min="21" max="21"/>
    <col width="24.140625" customWidth="1" style="1" min="22" max="22"/>
    <col width="19.425781" customWidth="1" style="1" min="23" max="23"/>
    <col width="9.855468999999999" customWidth="1" style="1" min="24" max="24"/>
    <col width="64.140625" customWidth="1" style="1" min="25" max="25"/>
    <col width="69.425781" customWidth="1" style="1" min="26" max="26"/>
    <col width="8.570311999999999" customWidth="1" style="1" min="27" max="27"/>
    <col width="13.285156" customWidth="1" style="1" min="28" max="28"/>
    <col width="7.570312" customWidth="1" style="1" min="29" max="29"/>
    <col width="11.425781" customWidth="1" style="1" min="30" max="30"/>
    <col width="5.285156" customWidth="1" style="1" min="31" max="32"/>
    <col width="37.285156" customWidth="1" min="33" max="33"/>
    <col width="19" customWidth="1" min="34" max="34"/>
    <col width="10" customWidth="1" min="35" max="35"/>
    <col width="13.285156" customWidth="1" style="1" min="36" max="36"/>
    <col width="9.710938000000001" customWidth="1" style="1" min="37" max="37"/>
    <col width="20.425781" customWidth="1" style="1" min="38" max="38"/>
    <col width="20.425781" customWidth="1" min="39" max="39"/>
    <col width="22.425781" customWidth="1" style="1" min="40" max="40"/>
    <col width="12.425781" customWidth="1" min="41" max="41"/>
    <col width="26.855469" customWidth="1" min="42" max="42"/>
    <col width="11.425781" customWidth="1" min="43" max="43"/>
    <col width="6.425781" customWidth="1" style="1" min="44" max="44"/>
    <col width="10.140625" customWidth="1" style="1" min="45" max="45"/>
    <col width="12" customWidth="1" style="1" min="46" max="46"/>
    <col width="14.285156" customWidth="1" style="1" min="47" max="47"/>
    <col width="14.285156" customWidth="1" min="48" max="48"/>
    <col width="22.710938" customWidth="1" min="49" max="49"/>
    <col width="9.140625" customWidth="1" min="50" max="65"/>
  </cols>
  <sheetData>
    <row r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DN</t>
        </is>
      </c>
      <c r="F1" t="inlineStr">
        <is>
          <t>ContentGeometryParamDefinition</t>
        </is>
      </c>
      <c r="G1" t="inlineStr">
        <is>
          <t>SizeRecordId_S1</t>
        </is>
      </c>
      <c r="H1" s="77" t="inlineStr">
        <is>
          <t>PortName_S1</t>
        </is>
      </c>
      <c r="I1" s="1" t="inlineStr">
        <is>
          <t>NominalDiameter_S1</t>
        </is>
      </c>
      <c r="J1" s="1" t="inlineStr">
        <is>
          <t>NominalUnit_S1</t>
        </is>
      </c>
      <c r="K1" s="1" t="inlineStr">
        <is>
          <t>MatchingPipeOd_S1</t>
        </is>
      </c>
      <c r="L1" s="1" t="inlineStr">
        <is>
          <t>EndType_S1</t>
        </is>
      </c>
      <c r="M1" s="1" t="inlineStr">
        <is>
          <t>FlangeStd_S1</t>
        </is>
      </c>
      <c r="N1" s="1" t="inlineStr">
        <is>
          <t>GasketStd_S1</t>
        </is>
      </c>
      <c r="O1" s="1" t="inlineStr">
        <is>
          <t>Facing_S1</t>
        </is>
      </c>
      <c r="P1" s="1" t="inlineStr">
        <is>
          <t>FlangeThickness_S1</t>
        </is>
      </c>
      <c r="Q1" s="1" t="inlineStr">
        <is>
          <t>PressureClass_S1</t>
        </is>
      </c>
      <c r="R1" s="1" t="inlineStr">
        <is>
          <t>Schedule_S1</t>
        </is>
      </c>
      <c r="S1" s="1" t="inlineStr">
        <is>
          <t>WallThickness_S1</t>
        </is>
      </c>
      <c r="T1" s="1" t="inlineStr">
        <is>
          <t>EngagementLength_S1</t>
        </is>
      </c>
      <c r="U1" s="1" t="inlineStr">
        <is>
          <t>LengthUnit_S1</t>
        </is>
      </c>
      <c r="V1" t="inlineStr">
        <is>
          <t>SizeRecordId_S2</t>
        </is>
      </c>
      <c r="W1" t="inlineStr">
        <is>
          <t>PortName_S2</t>
        </is>
      </c>
      <c r="X1" t="inlineStr">
        <is>
          <t>NominalDiameter_S2</t>
        </is>
      </c>
      <c r="Y1" t="inlineStr">
        <is>
          <t>NominalUnit_S2</t>
        </is>
      </c>
      <c r="Z1" t="inlineStr">
        <is>
          <t>MatchingPipeOd_S2</t>
        </is>
      </c>
      <c r="AA1" t="inlineStr">
        <is>
          <t>EndType_S2</t>
        </is>
      </c>
      <c r="AB1" t="inlineStr">
        <is>
          <t>FlangeStd_S2</t>
        </is>
      </c>
      <c r="AC1" t="inlineStr">
        <is>
          <t>GasketStd_S2</t>
        </is>
      </c>
      <c r="AD1" t="inlineStr">
        <is>
          <t>Facing_S2</t>
        </is>
      </c>
      <c r="AE1" t="inlineStr">
        <is>
          <t>FlangeThickness_S2</t>
        </is>
      </c>
      <c r="AF1" t="inlineStr">
        <is>
          <t>PressureClass_S2</t>
        </is>
      </c>
      <c r="AG1" t="inlineStr">
        <is>
          <t>Schedule_S2</t>
        </is>
      </c>
      <c r="AH1" t="inlineStr">
        <is>
          <t>WallThickness_S2</t>
        </is>
      </c>
      <c r="AI1" t="inlineStr">
        <is>
          <t>EngagementLength_S2</t>
        </is>
      </c>
      <c r="AJ1" t="inlineStr">
        <is>
          <t>LengthUnit_S2</t>
        </is>
      </c>
      <c r="AK1" s="1" t="inlineStr">
        <is>
          <t>ShortDescription</t>
        </is>
      </c>
      <c r="AL1" s="1" t="inlineStr">
        <is>
          <t>CompatibleStandard</t>
        </is>
      </c>
      <c r="AM1" s="1" t="inlineStr">
        <is>
          <t>DesignStd</t>
        </is>
      </c>
      <c r="AN1" s="1" t="inlineStr">
        <is>
          <t>PartFamilyLongDesc</t>
        </is>
      </c>
      <c r="AO1" s="1" t="inlineStr">
        <is>
          <t>PartSizeLongDesc</t>
        </is>
      </c>
      <c r="AP1" s="1" t="inlineStr">
        <is>
          <t>Material</t>
        </is>
      </c>
      <c r="AQ1" s="1" t="inlineStr">
        <is>
          <t>MaterialCode</t>
        </is>
      </c>
      <c r="AR1" s="1" t="inlineStr">
        <is>
          <t>Weight</t>
        </is>
      </c>
      <c r="AS1" s="1" t="inlineStr">
        <is>
          <t>WeightUnit</t>
        </is>
      </c>
      <c r="AT1" s="1" t="inlineStr">
        <is>
          <t>SKEY</t>
        </is>
      </c>
      <c r="AU1" s="1" t="inlineStr">
        <is>
          <t>TYPE</t>
        </is>
      </c>
      <c r="AV1" t="inlineStr">
        <is>
          <t>PartFamilyId</t>
        </is>
      </c>
      <c r="AW1" t="inlineStr">
        <is>
          <t>CatalogPartFamilyId</t>
        </is>
      </c>
      <c r="AX1" t="inlineStr">
        <is>
          <t>PartStatus</t>
        </is>
      </c>
      <c r="AY1" s="1" t="inlineStr">
        <is>
          <t>Manufacturer</t>
        </is>
      </c>
      <c r="AZ1" s="1" t="inlineStr">
        <is>
          <t>ItemCode</t>
        </is>
      </c>
      <c r="BA1" s="1" t="inlineStr">
        <is>
          <t>DesignPressureFactor</t>
        </is>
      </c>
      <c r="BB1" t="inlineStr">
        <is>
          <t>ConnectionPortCount</t>
        </is>
      </c>
      <c r="BC1" s="1" t="inlineStr">
        <is>
          <t>ComponentDesignation</t>
        </is>
      </c>
      <c r="BD1" t="inlineStr">
        <is>
          <t>PartCategory</t>
        </is>
      </c>
      <c r="BE1" t="inlineStr">
        <is>
          <t>ContentIsoSymbolDefinition</t>
        </is>
      </c>
      <c r="BF1" t="inlineStr">
        <is>
          <t>PartVersion</t>
        </is>
      </c>
      <c r="BG1" s="1" t="inlineStr">
        <is>
          <t>Status</t>
        </is>
      </c>
      <c r="BH1" s="1" t="inlineStr">
        <is>
          <t>PathAngle</t>
        </is>
      </c>
      <c r="BI1" s="1" t="inlineStr">
        <is>
          <t>CurveRadius</t>
        </is>
      </c>
      <c r="BJ1" s="1" t="inlineStr">
        <is>
          <t>SegmentCount</t>
        </is>
      </c>
      <c r="BK1" t="inlineStr">
        <is>
          <t>PnPClassName</t>
        </is>
      </c>
      <c r="BL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DN</t>
        </is>
      </c>
      <c r="F2" s="2" t="inlineStr">
        <is>
          <t>ContentGeometryParamDefinition</t>
        </is>
      </c>
      <c r="G2" s="2" t="inlineStr">
        <is>
          <t>SizeRecordId_S1</t>
        </is>
      </c>
      <c r="H2" s="78" t="inlineStr">
        <is>
          <t>PortName_S1</t>
        </is>
      </c>
      <c r="I2" s="2" t="inlineStr">
        <is>
          <t>NominalDiameter_S1</t>
        </is>
      </c>
      <c r="J2" s="2" t="inlineStr">
        <is>
          <t>NominalUnit_S1</t>
        </is>
      </c>
      <c r="K2" s="2" t="inlineStr">
        <is>
          <t>MatchingPipeOd_S1</t>
        </is>
      </c>
      <c r="L2" s="2" t="inlineStr">
        <is>
          <t>EndType_S1</t>
        </is>
      </c>
      <c r="M2" s="2" t="inlineStr">
        <is>
          <t>FlangeStd_S1</t>
        </is>
      </c>
      <c r="N2" s="2" t="inlineStr">
        <is>
          <t>GasketStd_S1</t>
        </is>
      </c>
      <c r="O2" s="2" t="inlineStr">
        <is>
          <t>Facing_S1</t>
        </is>
      </c>
      <c r="P2" s="2" t="inlineStr">
        <is>
          <t>FlangeThickness_S1</t>
        </is>
      </c>
      <c r="Q2" s="2" t="inlineStr">
        <is>
          <t>PressureClass_S1</t>
        </is>
      </c>
      <c r="R2" s="2" t="inlineStr">
        <is>
          <t>Schedule_S1</t>
        </is>
      </c>
      <c r="S2" s="2" t="inlineStr">
        <is>
          <t>WallThickness_S1</t>
        </is>
      </c>
      <c r="T2" s="2" t="inlineStr">
        <is>
          <t>EngagementLength_S1</t>
        </is>
      </c>
      <c r="U2" s="2" t="inlineStr">
        <is>
          <t>LengthUnit_S1</t>
        </is>
      </c>
      <c r="V2" t="inlineStr">
        <is>
          <t>SizeRecordId_S2</t>
        </is>
      </c>
      <c r="W2" t="inlineStr">
        <is>
          <t>PortName_S2</t>
        </is>
      </c>
      <c r="X2" t="inlineStr">
        <is>
          <t>NominalDiameter_S2</t>
        </is>
      </c>
      <c r="Y2" t="inlineStr">
        <is>
          <t>NominalUnit_S2</t>
        </is>
      </c>
      <c r="Z2" t="inlineStr">
        <is>
          <t>MatchingPipeOd_S2</t>
        </is>
      </c>
      <c r="AA2" t="inlineStr">
        <is>
          <t>EndType_S2</t>
        </is>
      </c>
      <c r="AB2" t="inlineStr">
        <is>
          <t>FlangeStd_S2</t>
        </is>
      </c>
      <c r="AC2" t="inlineStr">
        <is>
          <t>GasketStd_S2</t>
        </is>
      </c>
      <c r="AD2" t="inlineStr">
        <is>
          <t>Facing_S2</t>
        </is>
      </c>
      <c r="AE2" t="inlineStr">
        <is>
          <t>FlangeThickness_S2</t>
        </is>
      </c>
      <c r="AF2" t="inlineStr">
        <is>
          <t>PressureClass_S2</t>
        </is>
      </c>
      <c r="AG2" t="inlineStr">
        <is>
          <t>Schedule_S2</t>
        </is>
      </c>
      <c r="AH2" t="inlineStr">
        <is>
          <t>WallThickness_S2</t>
        </is>
      </c>
      <c r="AI2" t="inlineStr">
        <is>
          <t>EngagementLength_S2</t>
        </is>
      </c>
      <c r="AJ2" t="inlineStr">
        <is>
          <t>LengthUnit_S2</t>
        </is>
      </c>
      <c r="AK2" s="2" t="inlineStr">
        <is>
          <t>ShortDescription</t>
        </is>
      </c>
      <c r="AL2" s="2" t="inlineStr">
        <is>
          <t>CompatibleStandard</t>
        </is>
      </c>
      <c r="AM2" s="2" t="inlineStr">
        <is>
          <t>DesignStd</t>
        </is>
      </c>
      <c r="AN2" s="2" t="inlineStr">
        <is>
          <t>PartFamilyLongDesc</t>
        </is>
      </c>
      <c r="AO2" s="2" t="inlineStr">
        <is>
          <t>PartSizeLongDesc</t>
        </is>
      </c>
      <c r="AP2" s="2" t="inlineStr">
        <is>
          <t>Material</t>
        </is>
      </c>
      <c r="AQ2" s="2" t="inlineStr">
        <is>
          <t>MaterialCode</t>
        </is>
      </c>
      <c r="AR2" s="2" t="inlineStr">
        <is>
          <t>Weight</t>
        </is>
      </c>
      <c r="AS2" s="2" t="inlineStr">
        <is>
          <t>WeightUnit</t>
        </is>
      </c>
      <c r="AT2" s="2" t="inlineStr">
        <is>
          <t>SKEY</t>
        </is>
      </c>
      <c r="AU2" s="2" t="inlineStr">
        <is>
          <t>TYPE</t>
        </is>
      </c>
      <c r="AV2" s="2" t="inlineStr">
        <is>
          <t>PartFamilyId</t>
        </is>
      </c>
      <c r="AW2" s="2" t="inlineStr">
        <is>
          <t>CatalogPartFamilyId</t>
        </is>
      </c>
      <c r="AX2" s="2" t="inlineStr">
        <is>
          <t>PartStatus</t>
        </is>
      </c>
      <c r="AY2" s="2" t="inlineStr">
        <is>
          <t>Manufacturer</t>
        </is>
      </c>
      <c r="AZ2" s="2" t="inlineStr">
        <is>
          <t>ItemCode</t>
        </is>
      </c>
      <c r="BA2" s="2" t="inlineStr">
        <is>
          <t>DesignPressureFactor</t>
        </is>
      </c>
      <c r="BB2" s="2" t="inlineStr">
        <is>
          <t>ConnectionPortCount</t>
        </is>
      </c>
      <c r="BC2" s="2" t="inlineStr">
        <is>
          <t>ComponentDesignation</t>
        </is>
      </c>
      <c r="BD2" s="2" t="inlineStr">
        <is>
          <t>PartCategory</t>
        </is>
      </c>
      <c r="BE2" s="2" t="inlineStr">
        <is>
          <t>ContentIsoSymbolDefinition</t>
        </is>
      </c>
      <c r="BF2" s="2" t="inlineStr">
        <is>
          <t>PartVersion</t>
        </is>
      </c>
      <c r="BG2" s="2" t="inlineStr">
        <is>
          <t>Status</t>
        </is>
      </c>
      <c r="BH2" s="2" t="inlineStr">
        <is>
          <t>PathAngle</t>
        </is>
      </c>
      <c r="BI2" s="2" t="inlineStr">
        <is>
          <t>CurveRadius</t>
        </is>
      </c>
      <c r="BJ2" s="2" t="inlineStr">
        <is>
          <t>SegmentCount</t>
        </is>
      </c>
      <c r="BK2" s="2" t="inlineStr">
        <is>
          <t>PnPClassName</t>
        </is>
      </c>
      <c r="BL2" s="2" t="inlineStr">
        <is>
          <t>ExcelFormatVersion_2.0</t>
        </is>
      </c>
    </row>
    <row r="3">
      <c r="A3" s="1" t="n"/>
      <c r="B3" s="1" t="n"/>
      <c r="C3" s="1" t="n"/>
      <c r="D3" s="1" t="n"/>
      <c r="E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J3" s="1" t="n"/>
      <c r="AK3" s="1" t="n"/>
      <c r="AL3" s="1" t="n"/>
      <c r="AN3" s="1" t="n"/>
      <c r="AR3" s="1" t="n"/>
      <c r="AS3" s="1" t="n"/>
      <c r="AT3" s="1" t="n"/>
      <c r="AU3" s="1" t="n"/>
    </row>
    <row r="4">
      <c r="A4" s="1" t="n"/>
      <c r="B4" s="1" t="n"/>
      <c r="C4" s="1" t="n"/>
      <c r="D4" s="1" t="n"/>
      <c r="E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J4" s="1" t="n"/>
      <c r="AK4" s="1" t="n"/>
      <c r="AL4" s="1" t="n"/>
      <c r="AN4" s="1" t="n"/>
      <c r="AR4" s="1" t="n"/>
      <c r="AS4" s="1" t="n"/>
      <c r="AT4" s="1" t="n"/>
      <c r="AU4" s="1" t="n"/>
    </row>
    <row r="5">
      <c r="A5" s="1" t="n"/>
      <c r="B5" s="1" t="n"/>
      <c r="C5" s="1" t="n"/>
      <c r="D5" s="1" t="n"/>
      <c r="E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J5" s="1" t="n"/>
      <c r="AK5" s="1" t="n"/>
      <c r="AL5" s="1" t="n"/>
      <c r="AN5" s="1" t="n"/>
      <c r="AR5" s="1" t="n"/>
      <c r="AS5" s="1" t="n"/>
      <c r="AT5" s="1" t="n"/>
      <c r="AU5" s="1" t="n"/>
    </row>
  </sheetData>
  <dataValidations count="2">
    <dataValidation sqref="I3:I20 K3:K20 P3:P20 S3:T20 AC3:AC20 AI3:AI20 AM3:AM20 AS3:AU20" showDropDown="0" showInputMessage="1" showErrorMessage="1" allowBlank="1" errorTitle="" error="" promptTitle="" prompt="" type="decimal" errorStyle="stop" operator="between">
      <formula1>-5</formula1>
      <formula2>100000</formula2>
    </dataValidation>
    <dataValidation sqref="AD3:AD20" showDropDown="0" showInputMessage="1" showErrorMessage="1" allowBlank="1" errorTitle="" error="" promptTitle="" prompt="" type="list" errorStyle="stop" operator="between">
      <formula1>"LB,KG"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2026-06-16T07:42:10Z</dcterms:created>
  <dcterms:modified xmlns:dcterms="http://purl.org/dc/terms/" xmlns:xsi="http://www.w3.org/2001/XMLSchema-instance" xsi:type="dcterms:W3CDTF">2026-06-24T15:19:33Z</dcterms:modified>
  <cp:lastModifiedBy>Thang Dinh Cao</cp:lastModifiedBy>
</cp:coreProperties>
</file>