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CAAD7C6A-6790-42CD-A990-8225A8354183}" xr6:coauthVersionLast="47" xr6:coauthVersionMax="47" xr10:uidLastSave="{00000000-0000-0000-0000-000000000000}"/>
  <bookViews>
    <workbookView xWindow="-120" yWindow="-120" windowWidth="29040" windowHeight="15720" firstSheet="7" activeTab="10" xr2:uid="{00000000-000D-0000-FFFF-FFFF00000000}"/>
  </bookViews>
  <sheets>
    <sheet name="PIPE_SCH40,BV,40" sheetId="2" r:id="rId1"/>
    <sheet name="BLD_FLRF_CL150,FL" sheetId="3" r:id="rId2"/>
    <sheet name="WN_FLRF_CL150,FL,150" sheetId="4" r:id="rId3"/>
    <sheet name="SO_FLRF_CL150,FL,150" sheetId="5" r:id="rId4"/>
    <sheet name="TEE_REDUCE_SW_CL3000,FL,3" sheetId="6" r:id="rId5"/>
    <sheet name="TEE_EQ_SW_CL3000,FL,3000" sheetId="7" r:id="rId6"/>
    <sheet name="TEE_REDUCE_BW_SCH40,FL,40" sheetId="8" r:id="rId7"/>
    <sheet name="TEE_EQ_BW_SCH40,FL" sheetId="9" r:id="rId8"/>
    <sheet name="REDUCER_ECC_BW_SCH40,FL,4" sheetId="10" r:id="rId9"/>
    <sheet name="REDUCER_CONC_BW_SCH40,FL," sheetId="11" r:id="rId10"/>
    <sheet name="ELBOW_45_SW_CL3000,FL,300" sheetId="12" r:id="rId11"/>
    <sheet name="ELBOW_45_LR_BW_SCH40,FL,4" sheetId="13" r:id="rId12"/>
    <sheet name="ELBOW_90_SR_BW_SCH40,FL,4" sheetId="14" r:id="rId13"/>
    <sheet name="ELBOW_90_SW_CL3000,FL,300" sheetId="15" r:id="rId14"/>
    <sheet name="ELBOW_90_LR_BW_SCH40,FL,4" sheetId="16" r:id="rId15"/>
    <sheet name="GSK_RF_CL150,FL,150" sheetId="17" r:id="rId16"/>
    <sheet name="STUD_RF_CL150," sheetId="18" r:id="rId17"/>
    <sheet name="Catalog Data Flag" sheetId="19" state="hidden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8" l="1"/>
  <c r="X5" i="18"/>
  <c r="X6" i="18"/>
  <c r="X7" i="18"/>
  <c r="X8" i="18"/>
  <c r="X9" i="18"/>
  <c r="X10" i="18"/>
  <c r="X11" i="18"/>
  <c r="X12" i="18"/>
  <c r="X13" i="18"/>
  <c r="X14" i="18"/>
  <c r="X15" i="18"/>
  <c r="X16" i="18"/>
  <c r="X17" i="18"/>
  <c r="X18" i="18"/>
  <c r="X19" i="18"/>
  <c r="X20" i="18"/>
  <c r="X3" i="18"/>
  <c r="AA3" i="17"/>
  <c r="AA4" i="17"/>
  <c r="AA5" i="17"/>
  <c r="AA6" i="17"/>
  <c r="AA7" i="17"/>
  <c r="AA8" i="17"/>
  <c r="AA9" i="17"/>
  <c r="AA10" i="17"/>
  <c r="AA11" i="17"/>
  <c r="AA12" i="17"/>
  <c r="AA13" i="17"/>
  <c r="AA14" i="17"/>
  <c r="AA15" i="17"/>
  <c r="AA16" i="17"/>
  <c r="AA17" i="17"/>
  <c r="AA18" i="17"/>
  <c r="AA19" i="17"/>
  <c r="AA20" i="17"/>
  <c r="Z3" i="16"/>
  <c r="Z4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3" i="15"/>
  <c r="Z4" i="15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3" i="14"/>
  <c r="Z4" i="14"/>
  <c r="Z5" i="14"/>
  <c r="Z6" i="14"/>
  <c r="Z7" i="14"/>
  <c r="Z8" i="14"/>
  <c r="Z9" i="14"/>
  <c r="Z10" i="14"/>
  <c r="Z11" i="14"/>
  <c r="Z12" i="14"/>
  <c r="Z13" i="14"/>
  <c r="Z14" i="14"/>
  <c r="Z15" i="14"/>
  <c r="Z16" i="14"/>
  <c r="Z17" i="14"/>
  <c r="Z18" i="14"/>
  <c r="Z19" i="14"/>
  <c r="Z20" i="14"/>
  <c r="Z3" i="13"/>
  <c r="Z4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3" i="12"/>
  <c r="Z4" i="1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AP3" i="5"/>
  <c r="AP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O3" i="4"/>
  <c r="AA20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3" i="2"/>
  <c r="Z3" i="3"/>
  <c r="AO20" i="4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D2" authorId="0" shapeId="0" xr:uid="{00000000-0006-0000-0000-000002000000}">
      <text>
        <r>
          <rPr>
            <sz val="9"/>
            <color rgb="FF000000"/>
            <rFont val="Tahoma"/>
            <family val="2"/>
          </rPr>
          <t>Nominal outside diameter</t>
        </r>
      </text>
    </comment>
    <comment ref="E2" authorId="0" shapeId="0" xr:uid="{00000000-0006-0000-0000-000003000000}">
      <text>
        <r>
          <rPr>
            <sz val="9"/>
            <color rgb="FF000000"/>
            <rFont val="Tahoma"/>
            <family val="2"/>
          </rPr>
          <t>Length between connection points 
 If set to -1 then its handled as real Pipe 3D pipe</t>
        </r>
      </text>
    </comment>
    <comment ref="F2" authorId="0" shapeId="0" xr:uid="{00000000-0006-0000-0000-000004000000}">
      <text>
        <r>
          <rPr>
            <sz val="9"/>
            <color rgb="FF000000"/>
            <rFont val="Tahoma"/>
            <family val="2"/>
          </rPr>
          <t>The wall thickness of the base body 
 If set to 0 then no wall thickness is generated 
 If set to -1 then we use (D-(D/110)*100.0)/2.0</t>
        </r>
      </text>
    </comment>
    <comment ref="H2" authorId="0" shapeId="0" xr:uid="{00000000-0006-0000-0000-000005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I2" authorId="0" shapeId="0" xr:uid="{00000000-0006-0000-0000-000006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J2" authorId="0" shapeId="0" xr:uid="{00000000-0006-0000-0000-000007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K2" authorId="0" shapeId="0" xr:uid="{00000000-0006-0000-0000-000008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L2" authorId="0" shapeId="0" xr:uid="{00000000-0006-0000-0000-000009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M2" authorId="0" shapeId="0" xr:uid="{00000000-0006-0000-0000-00000A000000}">
      <text>
        <r>
          <rPr>
            <sz val="9"/>
            <color rgb="FF000000"/>
            <rFont val="Tahoma"/>
            <family val="2"/>
          </rPr>
          <t>EndType</t>
        </r>
      </text>
    </comment>
    <comment ref="N2" authorId="0" shapeId="0" xr:uid="{00000000-0006-0000-0000-00000B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O2" authorId="0" shapeId="0" xr:uid="{00000000-0006-0000-0000-00000C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P2" authorId="0" shapeId="0" xr:uid="{00000000-0006-0000-0000-00000D000000}">
      <text>
        <r>
          <rPr>
            <sz val="9"/>
            <color rgb="FF000000"/>
            <rFont val="Tahoma"/>
            <family val="2"/>
          </rPr>
          <t>Facing</t>
        </r>
      </text>
    </comment>
    <comment ref="Q2" authorId="0" shapeId="0" xr:uid="{00000000-0006-0000-0000-00000E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R2" authorId="0" shapeId="0" xr:uid="{00000000-0006-0000-0000-00000F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S2" authorId="0" shapeId="0" xr:uid="{00000000-0006-0000-0000-000010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T2" authorId="0" shapeId="0" xr:uid="{00000000-0006-0000-0000-000011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U2" authorId="0" shapeId="0" xr:uid="{00000000-0006-0000-0000-000012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V2" authorId="0" shapeId="0" xr:uid="{00000000-0006-0000-0000-000013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W2" authorId="0" shapeId="0" xr:uid="{00000000-0006-0000-0000-000014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X2" authorId="0" shapeId="0" xr:uid="{00000000-0006-0000-0000-000015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Y2" authorId="0" shapeId="0" xr:uid="{00000000-0006-0000-0000-000016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Z2" authorId="0" shapeId="0" xr:uid="{00000000-0006-0000-0000-000017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A2" authorId="0" shapeId="0" xr:uid="{00000000-0006-0000-0000-000018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B2" authorId="0" shapeId="0" xr:uid="{00000000-0006-0000-0000-000019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C2" authorId="0" shapeId="0" xr:uid="{00000000-0006-0000-0000-00001A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D2" authorId="0" shapeId="0" xr:uid="{00000000-0006-0000-0000-00001B000000}">
      <text>
        <r>
          <rPr>
            <sz val="9"/>
            <color rgb="FF000000"/>
            <rFont val="Tahoma"/>
            <family val="2"/>
          </rPr>
          <t>Weight</t>
        </r>
      </text>
    </comment>
    <comment ref="AE2" authorId="0" shapeId="0" xr:uid="{00000000-0006-0000-0000-00001C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H2" authorId="0" shapeId="0" xr:uid="{00000000-0006-0000-0000-00001D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I2" authorId="0" shapeId="0" xr:uid="{00000000-0006-0000-0000-00001E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J2" authorId="0" shapeId="0" xr:uid="{00000000-0006-0000-0000-00001F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K2" authorId="0" shapeId="0" xr:uid="{00000000-0006-0000-0000-000020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L2" authorId="0" shapeId="0" xr:uid="{00000000-0006-0000-0000-000021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M2" authorId="0" shapeId="0" xr:uid="{00000000-0006-0000-0000-000022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N2" authorId="0" shapeId="0" xr:uid="{00000000-0006-0000-0000-000023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O2" authorId="0" shapeId="0" xr:uid="{00000000-0006-0000-0000-000024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P2" authorId="0" shapeId="0" xr:uid="{00000000-0006-0000-0000-000025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Q2" authorId="0" shapeId="0" xr:uid="{00000000-0006-0000-0000-000026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R2" authorId="0" shapeId="0" xr:uid="{00000000-0006-0000-0000-000027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S2" authorId="0" shapeId="0" xr:uid="{00000000-0006-0000-0000-000028000000}">
      <text>
        <r>
          <rPr>
            <sz val="9"/>
            <color rgb="FF000000"/>
            <rFont val="Tahoma"/>
            <family val="2"/>
          </rPr>
          <t>Status</t>
        </r>
      </text>
    </comment>
    <comment ref="AT2" authorId="0" shapeId="0" xr:uid="{00000000-0006-0000-0000-000029000000}">
      <text>
        <r>
          <rPr>
            <sz val="9"/>
            <color rgb="FF000000"/>
            <rFont val="Tahoma"/>
            <family val="2"/>
          </rPr>
          <t>Length</t>
        </r>
      </text>
    </comment>
    <comment ref="AU2" authorId="0" shapeId="0" xr:uid="{00000000-0006-0000-0000-00002A000000}">
      <text>
        <r>
          <rPr>
            <sz val="9"/>
            <color rgb="FF000000"/>
            <rFont val="Tahoma"/>
            <family val="2"/>
          </rPr>
          <t>UseFixedLength</t>
        </r>
      </text>
    </comment>
    <comment ref="AV2" authorId="0" shapeId="0" xr:uid="{00000000-0006-0000-0000-00002B000000}">
      <text>
        <r>
          <rPr>
            <sz val="9"/>
            <color rgb="FF000000"/>
            <rFont val="Tahoma"/>
            <family val="2"/>
          </rPr>
          <t>MinCutLength</t>
        </r>
      </text>
    </comment>
    <comment ref="AW2" authorId="0" shapeId="0" xr:uid="{00000000-0006-0000-0000-00002C000000}">
      <text>
        <r>
          <rPr>
            <sz val="9"/>
            <color rgb="FF000000"/>
            <rFont val="Tahoma"/>
            <family val="2"/>
          </rPr>
          <t>LinearWeight</t>
        </r>
      </text>
    </comment>
    <comment ref="AX2" authorId="0" shapeId="0" xr:uid="{00000000-0006-0000-0000-00002D000000}">
      <text>
        <r>
          <rPr>
            <sz val="9"/>
            <color rgb="FF000000"/>
            <rFont val="Tahoma"/>
            <family val="2"/>
          </rPr>
          <t>LinearWeightUnit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G2" authorId="0" shapeId="0" xr:uid="{00000000-0006-0000-01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H2" authorId="0" shapeId="0" xr:uid="{00000000-0006-0000-01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I2" authorId="0" shapeId="0" xr:uid="{00000000-0006-0000-01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J2" authorId="0" shapeId="0" xr:uid="{00000000-0006-0000-01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K2" authorId="0" shapeId="0" xr:uid="{00000000-0006-0000-01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L2" authorId="0" shapeId="0" xr:uid="{00000000-0006-0000-01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M2" authorId="0" shapeId="0" xr:uid="{00000000-0006-0000-01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N2" authorId="0" shapeId="0" xr:uid="{00000000-0006-0000-01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O2" authorId="0" shapeId="0" xr:uid="{00000000-0006-0000-01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P2" authorId="0" shapeId="0" xr:uid="{00000000-0006-0000-01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Q2" authorId="0" shapeId="0" xr:uid="{00000000-0006-0000-01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R2" authorId="0" shapeId="0" xr:uid="{00000000-0006-0000-01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S2" authorId="0" shapeId="0" xr:uid="{00000000-0006-0000-01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T2" authorId="0" shapeId="0" xr:uid="{00000000-0006-0000-01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U2" authorId="0" shapeId="0" xr:uid="{00000000-0006-0000-01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V2" authorId="0" shapeId="0" xr:uid="{00000000-0006-0000-01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W2" authorId="0" shapeId="0" xr:uid="{00000000-0006-0000-01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X2" authorId="0" shapeId="0" xr:uid="{00000000-0006-0000-01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Y2" authorId="0" shapeId="0" xr:uid="{00000000-0006-0000-01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Z2" authorId="0" shapeId="0" xr:uid="{00000000-0006-0000-01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A2" authorId="0" shapeId="0" xr:uid="{00000000-0006-0000-01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B2" authorId="0" shapeId="0" xr:uid="{00000000-0006-0000-01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C2" authorId="0" shapeId="0" xr:uid="{00000000-0006-0000-01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D2" authorId="0" shapeId="0" xr:uid="{00000000-0006-0000-01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G2" authorId="0" shapeId="0" xr:uid="{00000000-0006-0000-01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H2" authorId="0" shapeId="0" xr:uid="{00000000-0006-0000-01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I2" authorId="0" shapeId="0" xr:uid="{00000000-0006-0000-01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J2" authorId="0" shapeId="0" xr:uid="{00000000-0006-0000-01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K2" authorId="0" shapeId="0" xr:uid="{00000000-0006-0000-01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L2" authorId="0" shapeId="0" xr:uid="{00000000-0006-0000-01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M2" authorId="0" shapeId="0" xr:uid="{00000000-0006-0000-01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N2" authorId="0" shapeId="0" xr:uid="{00000000-0006-0000-01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O2" authorId="0" shapeId="0" xr:uid="{00000000-0006-0000-01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P2" authorId="0" shapeId="0" xr:uid="{00000000-0006-0000-01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Q2" authorId="0" shapeId="0" xr:uid="{00000000-0006-0000-01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R2" authorId="0" shapeId="0" xr:uid="{00000000-0006-0000-0100-000025000000}">
      <text>
        <r>
          <rPr>
            <sz val="9"/>
            <color rgb="FF000000"/>
            <rFont val="Tahoma"/>
            <family val="2"/>
          </rPr>
          <t>Status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2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G2" authorId="0" shapeId="0" xr:uid="{00000000-0006-0000-02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H2" authorId="0" shapeId="0" xr:uid="{00000000-0006-0000-02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I2" authorId="0" shapeId="0" xr:uid="{00000000-0006-0000-02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J2" authorId="0" shapeId="0" xr:uid="{00000000-0006-0000-02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K2" authorId="0" shapeId="0" xr:uid="{00000000-0006-0000-02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L2" authorId="0" shapeId="0" xr:uid="{00000000-0006-0000-02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M2" authorId="0" shapeId="0" xr:uid="{00000000-0006-0000-02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N2" authorId="0" shapeId="0" xr:uid="{00000000-0006-0000-02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O2" authorId="0" shapeId="0" xr:uid="{00000000-0006-0000-02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P2" authorId="0" shapeId="0" xr:uid="{00000000-0006-0000-02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Q2" authorId="0" shapeId="0" xr:uid="{00000000-0006-0000-02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R2" authorId="0" shapeId="0" xr:uid="{00000000-0006-0000-02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S2" authorId="0" shapeId="0" xr:uid="{00000000-0006-0000-02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T2" authorId="0" shapeId="0" xr:uid="{00000000-0006-0000-02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U2" authorId="0" shapeId="0" xr:uid="{00000000-0006-0000-02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V2" authorId="0" shapeId="0" xr:uid="{00000000-0006-0000-0200-000011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W2" authorId="0" shapeId="0" xr:uid="{00000000-0006-0000-0200-000012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X2" authorId="0" shapeId="0" xr:uid="{00000000-0006-0000-0200-000013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Y2" authorId="0" shapeId="0" xr:uid="{00000000-0006-0000-0200-000014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Z2" authorId="0" shapeId="0" xr:uid="{00000000-0006-0000-0200-000015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AA2" authorId="0" shapeId="0" xr:uid="{00000000-0006-0000-0200-000016000000}">
      <text>
        <r>
          <rPr>
            <sz val="9"/>
            <color rgb="FF000000"/>
            <rFont val="Tahoma"/>
            <family val="2"/>
          </rPr>
          <t>EndType</t>
        </r>
      </text>
    </comment>
    <comment ref="AB2" authorId="0" shapeId="0" xr:uid="{00000000-0006-0000-0200-000017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AC2" authorId="0" shapeId="0" xr:uid="{00000000-0006-0000-0200-000018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AD2" authorId="0" shapeId="0" xr:uid="{00000000-0006-0000-0200-000019000000}">
      <text>
        <r>
          <rPr>
            <sz val="9"/>
            <color rgb="FF000000"/>
            <rFont val="Tahoma"/>
            <family val="2"/>
          </rPr>
          <t>Facing</t>
        </r>
      </text>
    </comment>
    <comment ref="AE2" authorId="0" shapeId="0" xr:uid="{00000000-0006-0000-0200-00001A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AF2" authorId="0" shapeId="0" xr:uid="{00000000-0006-0000-0200-00001B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AG2" authorId="0" shapeId="0" xr:uid="{00000000-0006-0000-0200-00001C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AH2" authorId="0" shapeId="0" xr:uid="{00000000-0006-0000-0200-00001D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AI2" authorId="0" shapeId="0" xr:uid="{00000000-0006-0000-0200-00001E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AJ2" authorId="0" shapeId="0" xr:uid="{00000000-0006-0000-0200-00001F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AK2" authorId="0" shapeId="0" xr:uid="{00000000-0006-0000-0200-000020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AL2" authorId="0" shapeId="0" xr:uid="{00000000-0006-0000-0200-000021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AM2" authorId="0" shapeId="0" xr:uid="{00000000-0006-0000-0200-000022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AN2" authorId="0" shapeId="0" xr:uid="{00000000-0006-0000-0200-000023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O2" authorId="0" shapeId="0" xr:uid="{00000000-0006-0000-0200-000024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P2" authorId="0" shapeId="0" xr:uid="{00000000-0006-0000-0200-000025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Q2" authorId="0" shapeId="0" xr:uid="{00000000-0006-0000-0200-000026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R2" authorId="0" shapeId="0" xr:uid="{00000000-0006-0000-0200-000027000000}">
      <text>
        <r>
          <rPr>
            <sz val="9"/>
            <color rgb="FF000000"/>
            <rFont val="Tahoma"/>
            <family val="2"/>
          </rPr>
          <t>Weight</t>
        </r>
      </text>
    </comment>
    <comment ref="AS2" authorId="0" shapeId="0" xr:uid="{00000000-0006-0000-0200-000028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V2" authorId="0" shapeId="0" xr:uid="{00000000-0006-0000-0200-000029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W2" authorId="0" shapeId="0" xr:uid="{00000000-0006-0000-0200-00002A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X2" authorId="0" shapeId="0" xr:uid="{00000000-0006-0000-0200-00002B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Y2" authorId="0" shapeId="0" xr:uid="{00000000-0006-0000-0200-00002C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Z2" authorId="0" shapeId="0" xr:uid="{00000000-0006-0000-0200-00002D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BA2" authorId="0" shapeId="0" xr:uid="{00000000-0006-0000-0200-00002E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BB2" authorId="0" shapeId="0" xr:uid="{00000000-0006-0000-0200-00002F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BC2" authorId="0" shapeId="0" xr:uid="{00000000-0006-0000-0200-000030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BD2" authorId="0" shapeId="0" xr:uid="{00000000-0006-0000-0200-000031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BE2" authorId="0" shapeId="0" xr:uid="{00000000-0006-0000-0200-000032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BF2" authorId="0" shapeId="0" xr:uid="{00000000-0006-0000-0200-000033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BG2" authorId="0" shapeId="0" xr:uid="{00000000-0006-0000-0200-000034000000}">
      <text>
        <r>
          <rPr>
            <sz val="9"/>
            <color rgb="FF000000"/>
            <rFont val="Tahoma"/>
            <family val="2"/>
          </rPr>
          <t>Status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H2" authorId="0" shapeId="0" xr:uid="{00000000-0006-0000-03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I2" authorId="0" shapeId="0" xr:uid="{00000000-0006-0000-03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J2" authorId="0" shapeId="0" xr:uid="{00000000-0006-0000-03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K2" authorId="0" shapeId="0" xr:uid="{00000000-0006-0000-03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L2" authorId="0" shapeId="0" xr:uid="{00000000-0006-0000-03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M2" authorId="0" shapeId="0" xr:uid="{00000000-0006-0000-03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N2" authorId="0" shapeId="0" xr:uid="{00000000-0006-0000-03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O2" authorId="0" shapeId="0" xr:uid="{00000000-0006-0000-03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P2" authorId="0" shapeId="0" xr:uid="{00000000-0006-0000-03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Q2" authorId="0" shapeId="0" xr:uid="{00000000-0006-0000-03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R2" authorId="0" shapeId="0" xr:uid="{00000000-0006-0000-03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S2" authorId="0" shapeId="0" xr:uid="{00000000-0006-0000-03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T2" authorId="0" shapeId="0" xr:uid="{00000000-0006-0000-03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U2" authorId="0" shapeId="0" xr:uid="{00000000-0006-0000-03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V2" authorId="0" shapeId="0" xr:uid="{00000000-0006-0000-03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W2" authorId="0" shapeId="0" xr:uid="{00000000-0006-0000-0300-000011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X2" authorId="0" shapeId="0" xr:uid="{00000000-0006-0000-0300-000012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Y2" authorId="0" shapeId="0" xr:uid="{00000000-0006-0000-0300-000013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Z2" authorId="0" shapeId="0" xr:uid="{00000000-0006-0000-0300-000014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AA2" authorId="0" shapeId="0" xr:uid="{00000000-0006-0000-0300-000015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AB2" authorId="0" shapeId="0" xr:uid="{00000000-0006-0000-0300-000016000000}">
      <text>
        <r>
          <rPr>
            <sz val="9"/>
            <color rgb="FF000000"/>
            <rFont val="Tahoma"/>
            <family val="2"/>
          </rPr>
          <t>EndType</t>
        </r>
      </text>
    </comment>
    <comment ref="AC2" authorId="0" shapeId="0" xr:uid="{00000000-0006-0000-0300-000017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AD2" authorId="0" shapeId="0" xr:uid="{00000000-0006-0000-0300-000018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AE2" authorId="0" shapeId="0" xr:uid="{00000000-0006-0000-0300-000019000000}">
      <text>
        <r>
          <rPr>
            <sz val="9"/>
            <color rgb="FF000000"/>
            <rFont val="Tahoma"/>
            <family val="2"/>
          </rPr>
          <t>Facing</t>
        </r>
      </text>
    </comment>
    <comment ref="AF2" authorId="0" shapeId="0" xr:uid="{00000000-0006-0000-0300-00001A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AG2" authorId="0" shapeId="0" xr:uid="{00000000-0006-0000-0300-00001B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AH2" authorId="0" shapeId="0" xr:uid="{00000000-0006-0000-0300-00001C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AI2" authorId="0" shapeId="0" xr:uid="{00000000-0006-0000-0300-00001D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AJ2" authorId="0" shapeId="0" xr:uid="{00000000-0006-0000-0300-00001E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AK2" authorId="0" shapeId="0" xr:uid="{00000000-0006-0000-0300-00001F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AL2" authorId="0" shapeId="0" xr:uid="{00000000-0006-0000-0300-000020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AM2" authorId="0" shapeId="0" xr:uid="{00000000-0006-0000-0300-000021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AN2" authorId="0" shapeId="0" xr:uid="{00000000-0006-0000-0300-000022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AO2" authorId="0" shapeId="0" xr:uid="{00000000-0006-0000-0300-000023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P2" authorId="0" shapeId="0" xr:uid="{00000000-0006-0000-0300-000024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Q2" authorId="0" shapeId="0" xr:uid="{00000000-0006-0000-0300-000025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R2" authorId="0" shapeId="0" xr:uid="{00000000-0006-0000-0300-000026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S2" authorId="0" shapeId="0" xr:uid="{00000000-0006-0000-0300-000027000000}">
      <text>
        <r>
          <rPr>
            <sz val="9"/>
            <color rgb="FF000000"/>
            <rFont val="Tahoma"/>
            <family val="2"/>
          </rPr>
          <t>Weight</t>
        </r>
      </text>
    </comment>
    <comment ref="AT2" authorId="0" shapeId="0" xr:uid="{00000000-0006-0000-0300-000028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W2" authorId="0" shapeId="0" xr:uid="{00000000-0006-0000-0300-000029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X2" authorId="0" shapeId="0" xr:uid="{00000000-0006-0000-0300-00002A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Y2" authorId="0" shapeId="0" xr:uid="{00000000-0006-0000-0300-00002B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Z2" authorId="0" shapeId="0" xr:uid="{00000000-0006-0000-0300-00002C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BA2" authorId="0" shapeId="0" xr:uid="{00000000-0006-0000-0300-00002D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BB2" authorId="0" shapeId="0" xr:uid="{00000000-0006-0000-0300-00002E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BC2" authorId="0" shapeId="0" xr:uid="{00000000-0006-0000-0300-00002F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BD2" authorId="0" shapeId="0" xr:uid="{00000000-0006-0000-0300-000030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BE2" authorId="0" shapeId="0" xr:uid="{00000000-0006-0000-0300-000031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BF2" authorId="0" shapeId="0" xr:uid="{00000000-0006-0000-0300-000032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BG2" authorId="0" shapeId="0" xr:uid="{00000000-0006-0000-0300-000033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BH2" authorId="0" shapeId="0" xr:uid="{00000000-0006-0000-0300-000034000000}">
      <text>
        <r>
          <rPr>
            <sz val="9"/>
            <color rgb="FF000000"/>
            <rFont val="Tahoma"/>
            <family val="2"/>
          </rPr>
          <t>Status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4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H2" authorId="0" shapeId="0" xr:uid="{00000000-0006-0000-04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I2" authorId="0" shapeId="0" xr:uid="{00000000-0006-0000-04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J2" authorId="0" shapeId="0" xr:uid="{00000000-0006-0000-04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K2" authorId="0" shapeId="0" xr:uid="{00000000-0006-0000-04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L2" authorId="0" shapeId="0" xr:uid="{00000000-0006-0000-04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M2" authorId="0" shapeId="0" xr:uid="{00000000-0006-0000-04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N2" authorId="0" shapeId="0" xr:uid="{00000000-0006-0000-04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O2" authorId="0" shapeId="0" xr:uid="{00000000-0006-0000-04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P2" authorId="0" shapeId="0" xr:uid="{00000000-0006-0000-04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Q2" authorId="0" shapeId="0" xr:uid="{00000000-0006-0000-04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R2" authorId="0" shapeId="0" xr:uid="{00000000-0006-0000-04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S2" authorId="0" shapeId="0" xr:uid="{00000000-0006-0000-04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T2" authorId="0" shapeId="0" xr:uid="{00000000-0006-0000-04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U2" authorId="0" shapeId="0" xr:uid="{00000000-0006-0000-04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V2" authorId="0" shapeId="0" xr:uid="{00000000-0006-0000-04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W2" authorId="0" shapeId="0" xr:uid="{00000000-0006-0000-04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X2" authorId="0" shapeId="0" xr:uid="{00000000-0006-0000-04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Y2" authorId="0" shapeId="0" xr:uid="{00000000-0006-0000-04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Z2" authorId="0" shapeId="0" xr:uid="{00000000-0006-0000-04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A2" authorId="0" shapeId="0" xr:uid="{00000000-0006-0000-04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B2" authorId="0" shapeId="0" xr:uid="{00000000-0006-0000-04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C2" authorId="0" shapeId="0" xr:uid="{00000000-0006-0000-04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D2" authorId="0" shapeId="0" xr:uid="{00000000-0006-0000-04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E2" authorId="0" shapeId="0" xr:uid="{00000000-0006-0000-04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H2" authorId="0" shapeId="0" xr:uid="{00000000-0006-0000-04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I2" authorId="0" shapeId="0" xr:uid="{00000000-0006-0000-04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J2" authorId="0" shapeId="0" xr:uid="{00000000-0006-0000-04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K2" authorId="0" shapeId="0" xr:uid="{00000000-0006-0000-04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L2" authorId="0" shapeId="0" xr:uid="{00000000-0006-0000-04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M2" authorId="0" shapeId="0" xr:uid="{00000000-0006-0000-04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N2" authorId="0" shapeId="0" xr:uid="{00000000-0006-0000-04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O2" authorId="0" shapeId="0" xr:uid="{00000000-0006-0000-04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P2" authorId="0" shapeId="0" xr:uid="{00000000-0006-0000-04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Q2" authorId="0" shapeId="0" xr:uid="{00000000-0006-0000-04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R2" authorId="0" shapeId="0" xr:uid="{00000000-0006-0000-04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S2" authorId="0" shapeId="0" xr:uid="{00000000-0006-0000-04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T2" authorId="0" shapeId="0" xr:uid="{00000000-0006-0000-0400-000026000000}">
      <text>
        <r>
          <rPr>
            <sz val="9"/>
            <color rgb="FF000000"/>
            <rFont val="Tahoma"/>
            <family val="2"/>
          </rPr>
          <t>Length</t>
        </r>
      </text>
    </comment>
    <comment ref="AU2" authorId="0" shapeId="0" xr:uid="{00000000-0006-0000-0400-000027000000}">
      <text>
        <r>
          <rPr>
            <sz val="9"/>
            <color rgb="FF000000"/>
            <rFont val="Tahoma"/>
            <family val="2"/>
          </rPr>
          <t>BranchAngle1</t>
        </r>
      </text>
    </comment>
    <comment ref="AV2" authorId="0" shapeId="0" xr:uid="{00000000-0006-0000-0400-000028000000}">
      <text>
        <r>
          <rPr>
            <sz val="9"/>
            <color rgb="FF000000"/>
            <rFont val="Tahoma"/>
            <family val="2"/>
          </rPr>
          <t>BranchAngle2</t>
        </r>
      </text>
    </comment>
    <comment ref="AW2" authorId="0" shapeId="0" xr:uid="{00000000-0006-0000-0400-000029000000}">
      <text>
        <r>
          <rPr>
            <sz val="9"/>
            <color rgb="FF000000"/>
            <rFont val="Tahoma"/>
            <family val="2"/>
          </rPr>
          <t>Eccentricity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5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G2" authorId="0" shapeId="0" xr:uid="{00000000-0006-0000-05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H2" authorId="0" shapeId="0" xr:uid="{00000000-0006-0000-05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I2" authorId="0" shapeId="0" xr:uid="{00000000-0006-0000-05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J2" authorId="0" shapeId="0" xr:uid="{00000000-0006-0000-05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K2" authorId="0" shapeId="0" xr:uid="{00000000-0006-0000-05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L2" authorId="0" shapeId="0" xr:uid="{00000000-0006-0000-05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M2" authorId="0" shapeId="0" xr:uid="{00000000-0006-0000-05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N2" authorId="0" shapeId="0" xr:uid="{00000000-0006-0000-05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O2" authorId="0" shapeId="0" xr:uid="{00000000-0006-0000-05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P2" authorId="0" shapeId="0" xr:uid="{00000000-0006-0000-05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Q2" authorId="0" shapeId="0" xr:uid="{00000000-0006-0000-05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R2" authorId="0" shapeId="0" xr:uid="{00000000-0006-0000-05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S2" authorId="0" shapeId="0" xr:uid="{00000000-0006-0000-05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T2" authorId="0" shapeId="0" xr:uid="{00000000-0006-0000-05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U2" authorId="0" shapeId="0" xr:uid="{00000000-0006-0000-05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V2" authorId="0" shapeId="0" xr:uid="{00000000-0006-0000-05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W2" authorId="0" shapeId="0" xr:uid="{00000000-0006-0000-05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X2" authorId="0" shapeId="0" xr:uid="{00000000-0006-0000-05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Y2" authorId="0" shapeId="0" xr:uid="{00000000-0006-0000-05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Z2" authorId="0" shapeId="0" xr:uid="{00000000-0006-0000-05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A2" authorId="0" shapeId="0" xr:uid="{00000000-0006-0000-05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B2" authorId="0" shapeId="0" xr:uid="{00000000-0006-0000-05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C2" authorId="0" shapeId="0" xr:uid="{00000000-0006-0000-05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D2" authorId="0" shapeId="0" xr:uid="{00000000-0006-0000-05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G2" authorId="0" shapeId="0" xr:uid="{00000000-0006-0000-05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H2" authorId="0" shapeId="0" xr:uid="{00000000-0006-0000-05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I2" authorId="0" shapeId="0" xr:uid="{00000000-0006-0000-05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J2" authorId="0" shapeId="0" xr:uid="{00000000-0006-0000-05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K2" authorId="0" shapeId="0" xr:uid="{00000000-0006-0000-05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L2" authorId="0" shapeId="0" xr:uid="{00000000-0006-0000-05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M2" authorId="0" shapeId="0" xr:uid="{00000000-0006-0000-05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N2" authorId="0" shapeId="0" xr:uid="{00000000-0006-0000-05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O2" authorId="0" shapeId="0" xr:uid="{00000000-0006-0000-05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P2" authorId="0" shapeId="0" xr:uid="{00000000-0006-0000-05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Q2" authorId="0" shapeId="0" xr:uid="{00000000-0006-0000-05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R2" authorId="0" shapeId="0" xr:uid="{00000000-0006-0000-05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S2" authorId="0" shapeId="0" xr:uid="{00000000-0006-0000-0500-000026000000}">
      <text>
        <r>
          <rPr>
            <sz val="9"/>
            <color rgb="FF000000"/>
            <rFont val="Tahoma"/>
            <family val="2"/>
          </rPr>
          <t>Length</t>
        </r>
      </text>
    </comment>
    <comment ref="AT2" authorId="0" shapeId="0" xr:uid="{00000000-0006-0000-0500-000027000000}">
      <text>
        <r>
          <rPr>
            <sz val="9"/>
            <color rgb="FF000000"/>
            <rFont val="Tahoma"/>
            <family val="2"/>
          </rPr>
          <t>BranchAngle1</t>
        </r>
      </text>
    </comment>
    <comment ref="AU2" authorId="0" shapeId="0" xr:uid="{00000000-0006-0000-0500-000028000000}">
      <text>
        <r>
          <rPr>
            <sz val="9"/>
            <color rgb="FF000000"/>
            <rFont val="Tahoma"/>
            <family val="2"/>
          </rPr>
          <t>BranchAngle2</t>
        </r>
      </text>
    </comment>
    <comment ref="AV2" authorId="0" shapeId="0" xr:uid="{00000000-0006-0000-0500-000029000000}">
      <text>
        <r>
          <rPr>
            <sz val="9"/>
            <color rgb="FF000000"/>
            <rFont val="Tahoma"/>
            <family val="2"/>
          </rPr>
          <t>Eccentricity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6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H2" authorId="0" shapeId="0" xr:uid="{00000000-0006-0000-06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I2" authorId="0" shapeId="0" xr:uid="{00000000-0006-0000-06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J2" authorId="0" shapeId="0" xr:uid="{00000000-0006-0000-06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K2" authorId="0" shapeId="0" xr:uid="{00000000-0006-0000-06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L2" authorId="0" shapeId="0" xr:uid="{00000000-0006-0000-06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M2" authorId="0" shapeId="0" xr:uid="{00000000-0006-0000-06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N2" authorId="0" shapeId="0" xr:uid="{00000000-0006-0000-06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O2" authorId="0" shapeId="0" xr:uid="{00000000-0006-0000-06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P2" authorId="0" shapeId="0" xr:uid="{00000000-0006-0000-06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Q2" authorId="0" shapeId="0" xr:uid="{00000000-0006-0000-06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R2" authorId="0" shapeId="0" xr:uid="{00000000-0006-0000-06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S2" authorId="0" shapeId="0" xr:uid="{00000000-0006-0000-06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T2" authorId="0" shapeId="0" xr:uid="{00000000-0006-0000-06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U2" authorId="0" shapeId="0" xr:uid="{00000000-0006-0000-06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V2" authorId="0" shapeId="0" xr:uid="{00000000-0006-0000-06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W2" authorId="0" shapeId="0" xr:uid="{00000000-0006-0000-06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X2" authorId="0" shapeId="0" xr:uid="{00000000-0006-0000-06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Y2" authorId="0" shapeId="0" xr:uid="{00000000-0006-0000-06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Z2" authorId="0" shapeId="0" xr:uid="{00000000-0006-0000-06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A2" authorId="0" shapeId="0" xr:uid="{00000000-0006-0000-06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B2" authorId="0" shapeId="0" xr:uid="{00000000-0006-0000-06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C2" authorId="0" shapeId="0" xr:uid="{00000000-0006-0000-06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D2" authorId="0" shapeId="0" xr:uid="{00000000-0006-0000-06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E2" authorId="0" shapeId="0" xr:uid="{00000000-0006-0000-06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H2" authorId="0" shapeId="0" xr:uid="{00000000-0006-0000-06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I2" authorId="0" shapeId="0" xr:uid="{00000000-0006-0000-06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J2" authorId="0" shapeId="0" xr:uid="{00000000-0006-0000-06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K2" authorId="0" shapeId="0" xr:uid="{00000000-0006-0000-06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L2" authorId="0" shapeId="0" xr:uid="{00000000-0006-0000-06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M2" authorId="0" shapeId="0" xr:uid="{00000000-0006-0000-06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N2" authorId="0" shapeId="0" xr:uid="{00000000-0006-0000-06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O2" authorId="0" shapeId="0" xr:uid="{00000000-0006-0000-06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P2" authorId="0" shapeId="0" xr:uid="{00000000-0006-0000-06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Q2" authorId="0" shapeId="0" xr:uid="{00000000-0006-0000-06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R2" authorId="0" shapeId="0" xr:uid="{00000000-0006-0000-06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S2" authorId="0" shapeId="0" xr:uid="{00000000-0006-0000-06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T2" authorId="0" shapeId="0" xr:uid="{00000000-0006-0000-0600-000026000000}">
      <text>
        <r>
          <rPr>
            <sz val="9"/>
            <color rgb="FF000000"/>
            <rFont val="Tahoma"/>
            <family val="2"/>
          </rPr>
          <t>Length</t>
        </r>
      </text>
    </comment>
    <comment ref="AU2" authorId="0" shapeId="0" xr:uid="{00000000-0006-0000-0600-000027000000}">
      <text>
        <r>
          <rPr>
            <sz val="9"/>
            <color rgb="FF000000"/>
            <rFont val="Tahoma"/>
            <family val="2"/>
          </rPr>
          <t>BranchAngle1</t>
        </r>
      </text>
    </comment>
    <comment ref="AV2" authorId="0" shapeId="0" xr:uid="{00000000-0006-0000-0600-000028000000}">
      <text>
        <r>
          <rPr>
            <sz val="9"/>
            <color rgb="FF000000"/>
            <rFont val="Tahoma"/>
            <family val="2"/>
          </rPr>
          <t>BranchAngle2</t>
        </r>
      </text>
    </comment>
    <comment ref="AW2" authorId="0" shapeId="0" xr:uid="{00000000-0006-0000-0600-000029000000}">
      <text>
        <r>
          <rPr>
            <sz val="9"/>
            <color rgb="FF000000"/>
            <rFont val="Tahoma"/>
            <family val="2"/>
          </rPr>
          <t>Eccentricity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7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G2" authorId="0" shapeId="0" xr:uid="{00000000-0006-0000-07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H2" authorId="0" shapeId="0" xr:uid="{00000000-0006-0000-07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I2" authorId="0" shapeId="0" xr:uid="{00000000-0006-0000-07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J2" authorId="0" shapeId="0" xr:uid="{00000000-0006-0000-07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K2" authorId="0" shapeId="0" xr:uid="{00000000-0006-0000-07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L2" authorId="0" shapeId="0" xr:uid="{00000000-0006-0000-07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M2" authorId="0" shapeId="0" xr:uid="{00000000-0006-0000-07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N2" authorId="0" shapeId="0" xr:uid="{00000000-0006-0000-07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O2" authorId="0" shapeId="0" xr:uid="{00000000-0006-0000-07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P2" authorId="0" shapeId="0" xr:uid="{00000000-0006-0000-07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Q2" authorId="0" shapeId="0" xr:uid="{00000000-0006-0000-07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R2" authorId="0" shapeId="0" xr:uid="{00000000-0006-0000-07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S2" authorId="0" shapeId="0" xr:uid="{00000000-0006-0000-07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T2" authorId="0" shapeId="0" xr:uid="{00000000-0006-0000-07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U2" authorId="0" shapeId="0" xr:uid="{00000000-0006-0000-07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V2" authorId="0" shapeId="0" xr:uid="{00000000-0006-0000-07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W2" authorId="0" shapeId="0" xr:uid="{00000000-0006-0000-07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X2" authorId="0" shapeId="0" xr:uid="{00000000-0006-0000-07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Y2" authorId="0" shapeId="0" xr:uid="{00000000-0006-0000-07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Z2" authorId="0" shapeId="0" xr:uid="{00000000-0006-0000-07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A2" authorId="0" shapeId="0" xr:uid="{00000000-0006-0000-07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B2" authorId="0" shapeId="0" xr:uid="{00000000-0006-0000-07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C2" authorId="0" shapeId="0" xr:uid="{00000000-0006-0000-07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D2" authorId="0" shapeId="0" xr:uid="{00000000-0006-0000-07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G2" authorId="0" shapeId="0" xr:uid="{00000000-0006-0000-07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H2" authorId="0" shapeId="0" xr:uid="{00000000-0006-0000-07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I2" authorId="0" shapeId="0" xr:uid="{00000000-0006-0000-07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J2" authorId="0" shapeId="0" xr:uid="{00000000-0006-0000-07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K2" authorId="0" shapeId="0" xr:uid="{00000000-0006-0000-07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L2" authorId="0" shapeId="0" xr:uid="{00000000-0006-0000-07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M2" authorId="0" shapeId="0" xr:uid="{00000000-0006-0000-07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N2" authorId="0" shapeId="0" xr:uid="{00000000-0006-0000-07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O2" authorId="0" shapeId="0" xr:uid="{00000000-0006-0000-07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P2" authorId="0" shapeId="0" xr:uid="{00000000-0006-0000-07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Q2" authorId="0" shapeId="0" xr:uid="{00000000-0006-0000-07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R2" authorId="0" shapeId="0" xr:uid="{00000000-0006-0000-07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S2" authorId="0" shapeId="0" xr:uid="{00000000-0006-0000-0700-000026000000}">
      <text>
        <r>
          <rPr>
            <sz val="9"/>
            <color rgb="FF000000"/>
            <rFont val="Tahoma"/>
            <family val="2"/>
          </rPr>
          <t>Length</t>
        </r>
      </text>
    </comment>
    <comment ref="AT2" authorId="0" shapeId="0" xr:uid="{00000000-0006-0000-0700-000027000000}">
      <text>
        <r>
          <rPr>
            <sz val="9"/>
            <color rgb="FF000000"/>
            <rFont val="Tahoma"/>
            <family val="2"/>
          </rPr>
          <t>BranchAngle1</t>
        </r>
      </text>
    </comment>
    <comment ref="AU2" authorId="0" shapeId="0" xr:uid="{00000000-0006-0000-0700-000028000000}">
      <text>
        <r>
          <rPr>
            <sz val="9"/>
            <color rgb="FF000000"/>
            <rFont val="Tahoma"/>
            <family val="2"/>
          </rPr>
          <t>BranchAngle2</t>
        </r>
      </text>
    </comment>
    <comment ref="AV2" authorId="0" shapeId="0" xr:uid="{00000000-0006-0000-0700-000029000000}">
      <text>
        <r>
          <rPr>
            <sz val="9"/>
            <color rgb="FF000000"/>
            <rFont val="Tahoma"/>
            <family val="2"/>
          </rPr>
          <t>Eccentricity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8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H2" authorId="0" shapeId="0" xr:uid="{00000000-0006-0000-08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I2" authorId="0" shapeId="0" xr:uid="{00000000-0006-0000-08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J2" authorId="0" shapeId="0" xr:uid="{00000000-0006-0000-08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K2" authorId="0" shapeId="0" xr:uid="{00000000-0006-0000-08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L2" authorId="0" shapeId="0" xr:uid="{00000000-0006-0000-08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M2" authorId="0" shapeId="0" xr:uid="{00000000-0006-0000-08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N2" authorId="0" shapeId="0" xr:uid="{00000000-0006-0000-08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O2" authorId="0" shapeId="0" xr:uid="{00000000-0006-0000-08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P2" authorId="0" shapeId="0" xr:uid="{00000000-0006-0000-08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Q2" authorId="0" shapeId="0" xr:uid="{00000000-0006-0000-08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R2" authorId="0" shapeId="0" xr:uid="{00000000-0006-0000-08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S2" authorId="0" shapeId="0" xr:uid="{00000000-0006-0000-08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T2" authorId="0" shapeId="0" xr:uid="{00000000-0006-0000-08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U2" authorId="0" shapeId="0" xr:uid="{00000000-0006-0000-08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V2" authorId="0" shapeId="0" xr:uid="{00000000-0006-0000-08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W2" authorId="0" shapeId="0" xr:uid="{00000000-0006-0000-08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X2" authorId="0" shapeId="0" xr:uid="{00000000-0006-0000-08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Y2" authorId="0" shapeId="0" xr:uid="{00000000-0006-0000-08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Z2" authorId="0" shapeId="0" xr:uid="{00000000-0006-0000-08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A2" authorId="0" shapeId="0" xr:uid="{00000000-0006-0000-08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B2" authorId="0" shapeId="0" xr:uid="{00000000-0006-0000-08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C2" authorId="0" shapeId="0" xr:uid="{00000000-0006-0000-08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D2" authorId="0" shapeId="0" xr:uid="{00000000-0006-0000-08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E2" authorId="0" shapeId="0" xr:uid="{00000000-0006-0000-08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H2" authorId="0" shapeId="0" xr:uid="{00000000-0006-0000-08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I2" authorId="0" shapeId="0" xr:uid="{00000000-0006-0000-08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J2" authorId="0" shapeId="0" xr:uid="{00000000-0006-0000-08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K2" authorId="0" shapeId="0" xr:uid="{00000000-0006-0000-08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L2" authorId="0" shapeId="0" xr:uid="{00000000-0006-0000-08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M2" authorId="0" shapeId="0" xr:uid="{00000000-0006-0000-08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N2" authorId="0" shapeId="0" xr:uid="{00000000-0006-0000-08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O2" authorId="0" shapeId="0" xr:uid="{00000000-0006-0000-08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P2" authorId="0" shapeId="0" xr:uid="{00000000-0006-0000-08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Q2" authorId="0" shapeId="0" xr:uid="{00000000-0006-0000-08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R2" authorId="0" shapeId="0" xr:uid="{00000000-0006-0000-08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S2" authorId="0" shapeId="0" xr:uid="{00000000-0006-0000-08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T2" authorId="0" shapeId="0" xr:uid="{00000000-0006-0000-0800-000026000000}">
      <text>
        <r>
          <rPr>
            <sz val="9"/>
            <color rgb="FF000000"/>
            <rFont val="Tahoma"/>
            <family val="2"/>
          </rPr>
          <t>Length</t>
        </r>
      </text>
    </comment>
    <comment ref="AU2" authorId="0" shapeId="0" xr:uid="{00000000-0006-0000-0800-000027000000}">
      <text>
        <r>
          <rPr>
            <sz val="9"/>
            <color rgb="FF000000"/>
            <rFont val="Tahoma"/>
            <family val="2"/>
          </rPr>
          <t>Eccentricity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9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H2" authorId="0" shapeId="0" xr:uid="{00000000-0006-0000-09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I2" authorId="0" shapeId="0" xr:uid="{00000000-0006-0000-09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J2" authorId="0" shapeId="0" xr:uid="{00000000-0006-0000-09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K2" authorId="0" shapeId="0" xr:uid="{00000000-0006-0000-09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L2" authorId="0" shapeId="0" xr:uid="{00000000-0006-0000-09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M2" authorId="0" shapeId="0" xr:uid="{00000000-0006-0000-09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N2" authorId="0" shapeId="0" xr:uid="{00000000-0006-0000-09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O2" authorId="0" shapeId="0" xr:uid="{00000000-0006-0000-09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P2" authorId="0" shapeId="0" xr:uid="{00000000-0006-0000-09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Q2" authorId="0" shapeId="0" xr:uid="{00000000-0006-0000-09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R2" authorId="0" shapeId="0" xr:uid="{00000000-0006-0000-09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S2" authorId="0" shapeId="0" xr:uid="{00000000-0006-0000-09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T2" authorId="0" shapeId="0" xr:uid="{00000000-0006-0000-09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U2" authorId="0" shapeId="0" xr:uid="{00000000-0006-0000-09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V2" authorId="0" shapeId="0" xr:uid="{00000000-0006-0000-09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W2" authorId="0" shapeId="0" xr:uid="{00000000-0006-0000-09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X2" authorId="0" shapeId="0" xr:uid="{00000000-0006-0000-09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Y2" authorId="0" shapeId="0" xr:uid="{00000000-0006-0000-09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Z2" authorId="0" shapeId="0" xr:uid="{00000000-0006-0000-09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A2" authorId="0" shapeId="0" xr:uid="{00000000-0006-0000-09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B2" authorId="0" shapeId="0" xr:uid="{00000000-0006-0000-09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C2" authorId="0" shapeId="0" xr:uid="{00000000-0006-0000-09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D2" authorId="0" shapeId="0" xr:uid="{00000000-0006-0000-09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E2" authorId="0" shapeId="0" xr:uid="{00000000-0006-0000-09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H2" authorId="0" shapeId="0" xr:uid="{00000000-0006-0000-09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I2" authorId="0" shapeId="0" xr:uid="{00000000-0006-0000-09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J2" authorId="0" shapeId="0" xr:uid="{00000000-0006-0000-09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K2" authorId="0" shapeId="0" xr:uid="{00000000-0006-0000-09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L2" authorId="0" shapeId="0" xr:uid="{00000000-0006-0000-09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M2" authorId="0" shapeId="0" xr:uid="{00000000-0006-0000-09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N2" authorId="0" shapeId="0" xr:uid="{00000000-0006-0000-09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O2" authorId="0" shapeId="0" xr:uid="{00000000-0006-0000-09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P2" authorId="0" shapeId="0" xr:uid="{00000000-0006-0000-09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Q2" authorId="0" shapeId="0" xr:uid="{00000000-0006-0000-09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R2" authorId="0" shapeId="0" xr:uid="{00000000-0006-0000-09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S2" authorId="0" shapeId="0" xr:uid="{00000000-0006-0000-09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T2" authorId="0" shapeId="0" xr:uid="{00000000-0006-0000-0900-000026000000}">
      <text>
        <r>
          <rPr>
            <sz val="9"/>
            <color rgb="FF000000"/>
            <rFont val="Tahoma"/>
            <family val="2"/>
          </rPr>
          <t>Length</t>
        </r>
      </text>
    </comment>
    <comment ref="AU2" authorId="0" shapeId="0" xr:uid="{00000000-0006-0000-0900-000027000000}">
      <text>
        <r>
          <rPr>
            <sz val="9"/>
            <color rgb="FF000000"/>
            <rFont val="Tahoma"/>
            <family val="2"/>
          </rPr>
          <t>Eccentricity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A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G2" authorId="0" shapeId="0" xr:uid="{00000000-0006-0000-0A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H2" authorId="0" shapeId="0" xr:uid="{00000000-0006-0000-0A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I2" authorId="0" shapeId="0" xr:uid="{00000000-0006-0000-0A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J2" authorId="0" shapeId="0" xr:uid="{00000000-0006-0000-0A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K2" authorId="0" shapeId="0" xr:uid="{00000000-0006-0000-0A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L2" authorId="0" shapeId="0" xr:uid="{00000000-0006-0000-0A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M2" authorId="0" shapeId="0" xr:uid="{00000000-0006-0000-0A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N2" authorId="0" shapeId="0" xr:uid="{00000000-0006-0000-0A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O2" authorId="0" shapeId="0" xr:uid="{00000000-0006-0000-0A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P2" authorId="0" shapeId="0" xr:uid="{00000000-0006-0000-0A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Q2" authorId="0" shapeId="0" xr:uid="{00000000-0006-0000-0A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R2" authorId="0" shapeId="0" xr:uid="{00000000-0006-0000-0A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S2" authorId="0" shapeId="0" xr:uid="{00000000-0006-0000-0A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T2" authorId="0" shapeId="0" xr:uid="{00000000-0006-0000-0A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U2" authorId="0" shapeId="0" xr:uid="{00000000-0006-0000-0A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V2" authorId="0" shapeId="0" xr:uid="{00000000-0006-0000-0A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W2" authorId="0" shapeId="0" xr:uid="{00000000-0006-0000-0A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X2" authorId="0" shapeId="0" xr:uid="{00000000-0006-0000-0A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Y2" authorId="0" shapeId="0" xr:uid="{00000000-0006-0000-0A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Z2" authorId="0" shapeId="0" xr:uid="{00000000-0006-0000-0A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A2" authorId="0" shapeId="0" xr:uid="{00000000-0006-0000-0A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B2" authorId="0" shapeId="0" xr:uid="{00000000-0006-0000-0A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C2" authorId="0" shapeId="0" xr:uid="{00000000-0006-0000-0A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D2" authorId="0" shapeId="0" xr:uid="{00000000-0006-0000-0A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G2" authorId="0" shapeId="0" xr:uid="{00000000-0006-0000-0A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H2" authorId="0" shapeId="0" xr:uid="{00000000-0006-0000-0A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I2" authorId="0" shapeId="0" xr:uid="{00000000-0006-0000-0A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J2" authorId="0" shapeId="0" xr:uid="{00000000-0006-0000-0A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K2" authorId="0" shapeId="0" xr:uid="{00000000-0006-0000-0A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L2" authorId="0" shapeId="0" xr:uid="{00000000-0006-0000-0A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M2" authorId="0" shapeId="0" xr:uid="{00000000-0006-0000-0A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N2" authorId="0" shapeId="0" xr:uid="{00000000-0006-0000-0A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O2" authorId="0" shapeId="0" xr:uid="{00000000-0006-0000-0A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P2" authorId="0" shapeId="0" xr:uid="{00000000-0006-0000-0A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Q2" authorId="0" shapeId="0" xr:uid="{00000000-0006-0000-0A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R2" authorId="0" shapeId="0" xr:uid="{00000000-0006-0000-0A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S2" authorId="0" shapeId="0" xr:uid="{00000000-0006-0000-0A00-000026000000}">
      <text>
        <r>
          <rPr>
            <sz val="9"/>
            <color rgb="FF000000"/>
            <rFont val="Tahoma"/>
            <family val="2"/>
          </rPr>
          <t>PathAngle</t>
        </r>
      </text>
    </comment>
    <comment ref="AT2" authorId="0" shapeId="0" xr:uid="{00000000-0006-0000-0A00-000027000000}">
      <text>
        <r>
          <rPr>
            <sz val="9"/>
            <color rgb="FF000000"/>
            <rFont val="Tahoma"/>
            <family val="2"/>
          </rPr>
          <t>CurveRadius</t>
        </r>
      </text>
    </comment>
    <comment ref="AU2" authorId="0" shapeId="0" xr:uid="{00000000-0006-0000-0A00-000028000000}">
      <text>
        <r>
          <rPr>
            <sz val="9"/>
            <color rgb="FF000000"/>
            <rFont val="Tahoma"/>
            <family val="2"/>
          </rPr>
          <t>SegmentCount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B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G2" authorId="0" shapeId="0" xr:uid="{00000000-0006-0000-0B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H2" authorId="0" shapeId="0" xr:uid="{00000000-0006-0000-0B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I2" authorId="0" shapeId="0" xr:uid="{00000000-0006-0000-0B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J2" authorId="0" shapeId="0" xr:uid="{00000000-0006-0000-0B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K2" authorId="0" shapeId="0" xr:uid="{00000000-0006-0000-0B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L2" authorId="0" shapeId="0" xr:uid="{00000000-0006-0000-0B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M2" authorId="0" shapeId="0" xr:uid="{00000000-0006-0000-0B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N2" authorId="0" shapeId="0" xr:uid="{00000000-0006-0000-0B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O2" authorId="0" shapeId="0" xr:uid="{00000000-0006-0000-0B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P2" authorId="0" shapeId="0" xr:uid="{00000000-0006-0000-0B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Q2" authorId="0" shapeId="0" xr:uid="{00000000-0006-0000-0B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R2" authorId="0" shapeId="0" xr:uid="{00000000-0006-0000-0B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S2" authorId="0" shapeId="0" xr:uid="{00000000-0006-0000-0B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T2" authorId="0" shapeId="0" xr:uid="{00000000-0006-0000-0B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U2" authorId="0" shapeId="0" xr:uid="{00000000-0006-0000-0B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V2" authorId="0" shapeId="0" xr:uid="{00000000-0006-0000-0B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W2" authorId="0" shapeId="0" xr:uid="{00000000-0006-0000-0B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X2" authorId="0" shapeId="0" xr:uid="{00000000-0006-0000-0B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Y2" authorId="0" shapeId="0" xr:uid="{00000000-0006-0000-0B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Z2" authorId="0" shapeId="0" xr:uid="{00000000-0006-0000-0B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A2" authorId="0" shapeId="0" xr:uid="{00000000-0006-0000-0B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B2" authorId="0" shapeId="0" xr:uid="{00000000-0006-0000-0B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C2" authorId="0" shapeId="0" xr:uid="{00000000-0006-0000-0B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D2" authorId="0" shapeId="0" xr:uid="{00000000-0006-0000-0B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G2" authorId="0" shapeId="0" xr:uid="{00000000-0006-0000-0B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H2" authorId="0" shapeId="0" xr:uid="{00000000-0006-0000-0B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I2" authorId="0" shapeId="0" xr:uid="{00000000-0006-0000-0B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J2" authorId="0" shapeId="0" xr:uid="{00000000-0006-0000-0B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K2" authorId="0" shapeId="0" xr:uid="{00000000-0006-0000-0B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L2" authorId="0" shapeId="0" xr:uid="{00000000-0006-0000-0B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M2" authorId="0" shapeId="0" xr:uid="{00000000-0006-0000-0B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N2" authorId="0" shapeId="0" xr:uid="{00000000-0006-0000-0B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O2" authorId="0" shapeId="0" xr:uid="{00000000-0006-0000-0B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P2" authorId="0" shapeId="0" xr:uid="{00000000-0006-0000-0B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Q2" authorId="0" shapeId="0" xr:uid="{00000000-0006-0000-0B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R2" authorId="0" shapeId="0" xr:uid="{00000000-0006-0000-0B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S2" authorId="0" shapeId="0" xr:uid="{00000000-0006-0000-0B00-000026000000}">
      <text>
        <r>
          <rPr>
            <sz val="9"/>
            <color rgb="FF000000"/>
            <rFont val="Tahoma"/>
            <family val="2"/>
          </rPr>
          <t>PathAngle</t>
        </r>
      </text>
    </comment>
    <comment ref="AT2" authorId="0" shapeId="0" xr:uid="{00000000-0006-0000-0B00-000027000000}">
      <text>
        <r>
          <rPr>
            <sz val="9"/>
            <color rgb="FF000000"/>
            <rFont val="Tahoma"/>
            <family val="2"/>
          </rPr>
          <t>CurveRadius</t>
        </r>
      </text>
    </comment>
    <comment ref="AU2" authorId="0" shapeId="0" xr:uid="{00000000-0006-0000-0B00-000028000000}">
      <text>
        <r>
          <rPr>
            <sz val="9"/>
            <color rgb="FF000000"/>
            <rFont val="Tahoma"/>
            <family val="2"/>
          </rPr>
          <t>SegmentCount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C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G2" authorId="0" shapeId="0" xr:uid="{00000000-0006-0000-0C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H2" authorId="0" shapeId="0" xr:uid="{00000000-0006-0000-0C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I2" authorId="0" shapeId="0" xr:uid="{00000000-0006-0000-0C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J2" authorId="0" shapeId="0" xr:uid="{00000000-0006-0000-0C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K2" authorId="0" shapeId="0" xr:uid="{00000000-0006-0000-0C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L2" authorId="0" shapeId="0" xr:uid="{00000000-0006-0000-0C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M2" authorId="0" shapeId="0" xr:uid="{00000000-0006-0000-0C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N2" authorId="0" shapeId="0" xr:uid="{00000000-0006-0000-0C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O2" authorId="0" shapeId="0" xr:uid="{00000000-0006-0000-0C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P2" authorId="0" shapeId="0" xr:uid="{00000000-0006-0000-0C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Q2" authorId="0" shapeId="0" xr:uid="{00000000-0006-0000-0C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R2" authorId="0" shapeId="0" xr:uid="{00000000-0006-0000-0C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S2" authorId="0" shapeId="0" xr:uid="{00000000-0006-0000-0C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T2" authorId="0" shapeId="0" xr:uid="{00000000-0006-0000-0C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U2" authorId="0" shapeId="0" xr:uid="{00000000-0006-0000-0C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V2" authorId="0" shapeId="0" xr:uid="{00000000-0006-0000-0C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W2" authorId="0" shapeId="0" xr:uid="{00000000-0006-0000-0C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X2" authorId="0" shapeId="0" xr:uid="{00000000-0006-0000-0C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Y2" authorId="0" shapeId="0" xr:uid="{00000000-0006-0000-0C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Z2" authorId="0" shapeId="0" xr:uid="{00000000-0006-0000-0C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A2" authorId="0" shapeId="0" xr:uid="{00000000-0006-0000-0C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B2" authorId="0" shapeId="0" xr:uid="{00000000-0006-0000-0C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C2" authorId="0" shapeId="0" xr:uid="{00000000-0006-0000-0C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D2" authorId="0" shapeId="0" xr:uid="{00000000-0006-0000-0C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G2" authorId="0" shapeId="0" xr:uid="{00000000-0006-0000-0C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H2" authorId="0" shapeId="0" xr:uid="{00000000-0006-0000-0C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I2" authorId="0" shapeId="0" xr:uid="{00000000-0006-0000-0C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J2" authorId="0" shapeId="0" xr:uid="{00000000-0006-0000-0C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K2" authorId="0" shapeId="0" xr:uid="{00000000-0006-0000-0C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L2" authorId="0" shapeId="0" xr:uid="{00000000-0006-0000-0C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M2" authorId="0" shapeId="0" xr:uid="{00000000-0006-0000-0C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N2" authorId="0" shapeId="0" xr:uid="{00000000-0006-0000-0C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O2" authorId="0" shapeId="0" xr:uid="{00000000-0006-0000-0C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P2" authorId="0" shapeId="0" xr:uid="{00000000-0006-0000-0C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Q2" authorId="0" shapeId="0" xr:uid="{00000000-0006-0000-0C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R2" authorId="0" shapeId="0" xr:uid="{00000000-0006-0000-0C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S2" authorId="0" shapeId="0" xr:uid="{00000000-0006-0000-0C00-000026000000}">
      <text>
        <r>
          <rPr>
            <sz val="9"/>
            <color rgb="FF000000"/>
            <rFont val="Tahoma"/>
            <family val="2"/>
          </rPr>
          <t>PathAngle</t>
        </r>
      </text>
    </comment>
    <comment ref="AT2" authorId="0" shapeId="0" xr:uid="{00000000-0006-0000-0C00-000027000000}">
      <text>
        <r>
          <rPr>
            <sz val="9"/>
            <color rgb="FF000000"/>
            <rFont val="Tahoma"/>
            <family val="2"/>
          </rPr>
          <t>CurveRadius</t>
        </r>
      </text>
    </comment>
    <comment ref="AU2" authorId="0" shapeId="0" xr:uid="{00000000-0006-0000-0C00-000028000000}">
      <text>
        <r>
          <rPr>
            <sz val="9"/>
            <color rgb="FF000000"/>
            <rFont val="Tahoma"/>
            <family val="2"/>
          </rPr>
          <t>SegmentCount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D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G2" authorId="0" shapeId="0" xr:uid="{00000000-0006-0000-0D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H2" authorId="0" shapeId="0" xr:uid="{00000000-0006-0000-0D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I2" authorId="0" shapeId="0" xr:uid="{00000000-0006-0000-0D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J2" authorId="0" shapeId="0" xr:uid="{00000000-0006-0000-0D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K2" authorId="0" shapeId="0" xr:uid="{00000000-0006-0000-0D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L2" authorId="0" shapeId="0" xr:uid="{00000000-0006-0000-0D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M2" authorId="0" shapeId="0" xr:uid="{00000000-0006-0000-0D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N2" authorId="0" shapeId="0" xr:uid="{00000000-0006-0000-0D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O2" authorId="0" shapeId="0" xr:uid="{00000000-0006-0000-0D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P2" authorId="0" shapeId="0" xr:uid="{00000000-0006-0000-0D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Q2" authorId="0" shapeId="0" xr:uid="{00000000-0006-0000-0D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R2" authorId="0" shapeId="0" xr:uid="{00000000-0006-0000-0D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S2" authorId="0" shapeId="0" xr:uid="{00000000-0006-0000-0D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T2" authorId="0" shapeId="0" xr:uid="{00000000-0006-0000-0D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U2" authorId="0" shapeId="0" xr:uid="{00000000-0006-0000-0D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V2" authorId="0" shapeId="0" xr:uid="{00000000-0006-0000-0D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W2" authorId="0" shapeId="0" xr:uid="{00000000-0006-0000-0D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X2" authorId="0" shapeId="0" xr:uid="{00000000-0006-0000-0D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Y2" authorId="0" shapeId="0" xr:uid="{00000000-0006-0000-0D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Z2" authorId="0" shapeId="0" xr:uid="{00000000-0006-0000-0D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A2" authorId="0" shapeId="0" xr:uid="{00000000-0006-0000-0D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B2" authorId="0" shapeId="0" xr:uid="{00000000-0006-0000-0D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C2" authorId="0" shapeId="0" xr:uid="{00000000-0006-0000-0D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D2" authorId="0" shapeId="0" xr:uid="{00000000-0006-0000-0D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G2" authorId="0" shapeId="0" xr:uid="{00000000-0006-0000-0D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H2" authorId="0" shapeId="0" xr:uid="{00000000-0006-0000-0D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I2" authorId="0" shapeId="0" xr:uid="{00000000-0006-0000-0D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J2" authorId="0" shapeId="0" xr:uid="{00000000-0006-0000-0D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K2" authorId="0" shapeId="0" xr:uid="{00000000-0006-0000-0D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L2" authorId="0" shapeId="0" xr:uid="{00000000-0006-0000-0D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M2" authorId="0" shapeId="0" xr:uid="{00000000-0006-0000-0D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N2" authorId="0" shapeId="0" xr:uid="{00000000-0006-0000-0D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O2" authorId="0" shapeId="0" xr:uid="{00000000-0006-0000-0D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P2" authorId="0" shapeId="0" xr:uid="{00000000-0006-0000-0D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Q2" authorId="0" shapeId="0" xr:uid="{00000000-0006-0000-0D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R2" authorId="0" shapeId="0" xr:uid="{00000000-0006-0000-0D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S2" authorId="0" shapeId="0" xr:uid="{00000000-0006-0000-0D00-000026000000}">
      <text>
        <r>
          <rPr>
            <sz val="9"/>
            <color rgb="FF000000"/>
            <rFont val="Tahoma"/>
            <family val="2"/>
          </rPr>
          <t>PathAngle</t>
        </r>
      </text>
    </comment>
    <comment ref="AT2" authorId="0" shapeId="0" xr:uid="{00000000-0006-0000-0D00-000027000000}">
      <text>
        <r>
          <rPr>
            <sz val="9"/>
            <color rgb="FF000000"/>
            <rFont val="Tahoma"/>
            <family val="2"/>
          </rPr>
          <t>CurveRadius</t>
        </r>
      </text>
    </comment>
    <comment ref="AU2" authorId="0" shapeId="0" xr:uid="{00000000-0006-0000-0D00-000028000000}">
      <text>
        <r>
          <rPr>
            <sz val="9"/>
            <color rgb="FF000000"/>
            <rFont val="Tahoma"/>
            <family val="2"/>
          </rPr>
          <t>SegmentCount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E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G2" authorId="0" shapeId="0" xr:uid="{00000000-0006-0000-0E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H2" authorId="0" shapeId="0" xr:uid="{00000000-0006-0000-0E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I2" authorId="0" shapeId="0" xr:uid="{00000000-0006-0000-0E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J2" authorId="0" shapeId="0" xr:uid="{00000000-0006-0000-0E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K2" authorId="0" shapeId="0" xr:uid="{00000000-0006-0000-0E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L2" authorId="0" shapeId="0" xr:uid="{00000000-0006-0000-0E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M2" authorId="0" shapeId="0" xr:uid="{00000000-0006-0000-0E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N2" authorId="0" shapeId="0" xr:uid="{00000000-0006-0000-0E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O2" authorId="0" shapeId="0" xr:uid="{00000000-0006-0000-0E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P2" authorId="0" shapeId="0" xr:uid="{00000000-0006-0000-0E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Q2" authorId="0" shapeId="0" xr:uid="{00000000-0006-0000-0E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R2" authorId="0" shapeId="0" xr:uid="{00000000-0006-0000-0E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S2" authorId="0" shapeId="0" xr:uid="{00000000-0006-0000-0E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T2" authorId="0" shapeId="0" xr:uid="{00000000-0006-0000-0E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U2" authorId="0" shapeId="0" xr:uid="{00000000-0006-0000-0E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V2" authorId="0" shapeId="0" xr:uid="{00000000-0006-0000-0E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W2" authorId="0" shapeId="0" xr:uid="{00000000-0006-0000-0E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X2" authorId="0" shapeId="0" xr:uid="{00000000-0006-0000-0E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Y2" authorId="0" shapeId="0" xr:uid="{00000000-0006-0000-0E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Z2" authorId="0" shapeId="0" xr:uid="{00000000-0006-0000-0E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A2" authorId="0" shapeId="0" xr:uid="{00000000-0006-0000-0E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B2" authorId="0" shapeId="0" xr:uid="{00000000-0006-0000-0E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C2" authorId="0" shapeId="0" xr:uid="{00000000-0006-0000-0E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D2" authorId="0" shapeId="0" xr:uid="{00000000-0006-0000-0E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G2" authorId="0" shapeId="0" xr:uid="{00000000-0006-0000-0E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H2" authorId="0" shapeId="0" xr:uid="{00000000-0006-0000-0E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I2" authorId="0" shapeId="0" xr:uid="{00000000-0006-0000-0E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J2" authorId="0" shapeId="0" xr:uid="{00000000-0006-0000-0E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K2" authorId="0" shapeId="0" xr:uid="{00000000-0006-0000-0E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L2" authorId="0" shapeId="0" xr:uid="{00000000-0006-0000-0E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M2" authorId="0" shapeId="0" xr:uid="{00000000-0006-0000-0E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N2" authorId="0" shapeId="0" xr:uid="{00000000-0006-0000-0E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O2" authorId="0" shapeId="0" xr:uid="{00000000-0006-0000-0E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P2" authorId="0" shapeId="0" xr:uid="{00000000-0006-0000-0E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Q2" authorId="0" shapeId="0" xr:uid="{00000000-0006-0000-0E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R2" authorId="0" shapeId="0" xr:uid="{00000000-0006-0000-0E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S2" authorId="0" shapeId="0" xr:uid="{00000000-0006-0000-0E00-000026000000}">
      <text>
        <r>
          <rPr>
            <sz val="9"/>
            <color rgb="FF000000"/>
            <rFont val="Tahoma"/>
            <family val="2"/>
          </rPr>
          <t>PathAngle</t>
        </r>
      </text>
    </comment>
    <comment ref="AT2" authorId="0" shapeId="0" xr:uid="{00000000-0006-0000-0E00-000027000000}">
      <text>
        <r>
          <rPr>
            <sz val="9"/>
            <color rgb="FF000000"/>
            <rFont val="Tahoma"/>
            <family val="2"/>
          </rPr>
          <t>CurveRadius</t>
        </r>
      </text>
    </comment>
    <comment ref="AU2" authorId="0" shapeId="0" xr:uid="{00000000-0006-0000-0E00-000028000000}">
      <text>
        <r>
          <rPr>
            <sz val="9"/>
            <color rgb="FF000000"/>
            <rFont val="Tahoma"/>
            <family val="2"/>
          </rPr>
          <t>SegmentCount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0F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H2" authorId="0" shapeId="0" xr:uid="{00000000-0006-0000-0F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I2" authorId="0" shapeId="0" xr:uid="{00000000-0006-0000-0F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J2" authorId="0" shapeId="0" xr:uid="{00000000-0006-0000-0F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K2" authorId="0" shapeId="0" xr:uid="{00000000-0006-0000-0F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L2" authorId="0" shapeId="0" xr:uid="{00000000-0006-0000-0F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M2" authorId="0" shapeId="0" xr:uid="{00000000-0006-0000-0F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N2" authorId="0" shapeId="0" xr:uid="{00000000-0006-0000-0F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O2" authorId="0" shapeId="0" xr:uid="{00000000-0006-0000-0F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P2" authorId="0" shapeId="0" xr:uid="{00000000-0006-0000-0F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Q2" authorId="0" shapeId="0" xr:uid="{00000000-0006-0000-0F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R2" authorId="0" shapeId="0" xr:uid="{00000000-0006-0000-0F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S2" authorId="0" shapeId="0" xr:uid="{00000000-0006-0000-0F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T2" authorId="0" shapeId="0" xr:uid="{00000000-0006-0000-0F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U2" authorId="0" shapeId="0" xr:uid="{00000000-0006-0000-0F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V2" authorId="0" shapeId="0" xr:uid="{00000000-0006-0000-0F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W2" authorId="0" shapeId="0" xr:uid="{00000000-0006-0000-0F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X2" authorId="0" shapeId="0" xr:uid="{00000000-0006-0000-0F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Y2" authorId="0" shapeId="0" xr:uid="{00000000-0006-0000-0F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Z2" authorId="0" shapeId="0" xr:uid="{00000000-0006-0000-0F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A2" authorId="0" shapeId="0" xr:uid="{00000000-0006-0000-0F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B2" authorId="0" shapeId="0" xr:uid="{00000000-0006-0000-0F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C2" authorId="0" shapeId="0" xr:uid="{00000000-0006-0000-0F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D2" authorId="0" shapeId="0" xr:uid="{00000000-0006-0000-0F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E2" authorId="0" shapeId="0" xr:uid="{00000000-0006-0000-0F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H2" authorId="0" shapeId="0" xr:uid="{00000000-0006-0000-0F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I2" authorId="0" shapeId="0" xr:uid="{00000000-0006-0000-0F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J2" authorId="0" shapeId="0" xr:uid="{00000000-0006-0000-0F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K2" authorId="0" shapeId="0" xr:uid="{00000000-0006-0000-0F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L2" authorId="0" shapeId="0" xr:uid="{00000000-0006-0000-0F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M2" authorId="0" shapeId="0" xr:uid="{00000000-0006-0000-0F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N2" authorId="0" shapeId="0" xr:uid="{00000000-0006-0000-0F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O2" authorId="0" shapeId="0" xr:uid="{00000000-0006-0000-0F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P2" authorId="0" shapeId="0" xr:uid="{00000000-0006-0000-0F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Q2" authorId="0" shapeId="0" xr:uid="{00000000-0006-0000-0F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R2" authorId="0" shapeId="0" xr:uid="{00000000-0006-0000-0F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S2" authorId="0" shapeId="0" xr:uid="{00000000-0006-0000-0F00-000025000000}">
      <text>
        <r>
          <rPr>
            <sz val="9"/>
            <color rgb="FF000000"/>
            <rFont val="Tahoma"/>
            <family val="2"/>
          </rPr>
          <t>Status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dinht</author>
  </authors>
  <commentList>
    <comment ref="A1" authorId="0" shapeId="0" xr:uid="{00000000-0006-0000-10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E2" authorId="0" shapeId="0" xr:uid="{00000000-0006-0000-10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F2" authorId="0" shapeId="0" xr:uid="{00000000-0006-0000-10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G2" authorId="0" shapeId="0" xr:uid="{00000000-0006-0000-10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H2" authorId="0" shapeId="0" xr:uid="{00000000-0006-0000-10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I2" authorId="0" shapeId="0" xr:uid="{00000000-0006-0000-10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J2" authorId="0" shapeId="0" xr:uid="{00000000-0006-0000-10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K2" authorId="0" shapeId="0" xr:uid="{00000000-0006-0000-10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L2" authorId="0" shapeId="0" xr:uid="{00000000-0006-0000-10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M2" authorId="0" shapeId="0" xr:uid="{00000000-0006-0000-10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N2" authorId="0" shapeId="0" xr:uid="{00000000-0006-0000-10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O2" authorId="0" shapeId="0" xr:uid="{00000000-0006-0000-10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P2" authorId="0" shapeId="0" xr:uid="{00000000-0006-0000-10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Q2" authorId="0" shapeId="0" xr:uid="{00000000-0006-0000-10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R2" authorId="0" shapeId="0" xr:uid="{00000000-0006-0000-10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S2" authorId="0" shapeId="0" xr:uid="{00000000-0006-0000-10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T2" authorId="0" shapeId="0" xr:uid="{00000000-0006-0000-10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U2" authorId="0" shapeId="0" xr:uid="{00000000-0006-0000-10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V2" authorId="0" shapeId="0" xr:uid="{00000000-0006-0000-10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W2" authorId="0" shapeId="0" xr:uid="{00000000-0006-0000-10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X2" authorId="0" shapeId="0" xr:uid="{00000000-0006-0000-10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Y2" authorId="0" shapeId="0" xr:uid="{00000000-0006-0000-10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Z2" authorId="0" shapeId="0" xr:uid="{00000000-0006-0000-10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A2" authorId="0" shapeId="0" xr:uid="{00000000-0006-0000-10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B2" authorId="0" shapeId="0" xr:uid="{00000000-0006-0000-10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E2" authorId="0" shapeId="0" xr:uid="{00000000-0006-0000-10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F2" authorId="0" shapeId="0" xr:uid="{00000000-0006-0000-10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G2" authorId="0" shapeId="0" xr:uid="{00000000-0006-0000-10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H2" authorId="0" shapeId="0" xr:uid="{00000000-0006-0000-10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I2" authorId="0" shapeId="0" xr:uid="{00000000-0006-0000-10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J2" authorId="0" shapeId="0" xr:uid="{00000000-0006-0000-10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K2" authorId="0" shapeId="0" xr:uid="{00000000-0006-0000-10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L2" authorId="0" shapeId="0" xr:uid="{00000000-0006-0000-10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M2" authorId="0" shapeId="0" xr:uid="{00000000-0006-0000-10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N2" authorId="0" shapeId="0" xr:uid="{00000000-0006-0000-10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AO2" authorId="0" shapeId="0" xr:uid="{00000000-0006-0000-10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AP2" authorId="0" shapeId="0" xr:uid="{00000000-0006-0000-10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AQ2" authorId="0" shapeId="0" xr:uid="{00000000-0006-0000-1000-000026000000}">
      <text>
        <r>
          <rPr>
            <sz val="9"/>
            <color rgb="FF000000"/>
            <rFont val="Tahoma"/>
            <family val="2"/>
          </rPr>
          <t>BoltSize</t>
        </r>
      </text>
    </comment>
    <comment ref="AR2" authorId="0" shapeId="0" xr:uid="{00000000-0006-0000-1000-000027000000}">
      <text>
        <r>
          <rPr>
            <sz val="9"/>
            <color rgb="FF000000"/>
            <rFont val="Tahoma"/>
            <family val="2"/>
          </rPr>
          <t>NumberInSet</t>
        </r>
      </text>
    </comment>
    <comment ref="AS2" authorId="0" shapeId="0" xr:uid="{00000000-0006-0000-1000-000028000000}">
      <text>
        <r>
          <rPr>
            <sz val="9"/>
            <color rgb="FF000000"/>
            <rFont val="Tahoma"/>
            <family val="2"/>
          </rPr>
          <t>IsLugSet</t>
        </r>
      </text>
    </comment>
    <comment ref="AT2" authorId="0" shapeId="0" xr:uid="{00000000-0006-0000-1000-000029000000}">
      <text>
        <r>
          <rPr>
            <sz val="9"/>
            <color rgb="FF000000"/>
            <rFont val="Tahoma"/>
            <family val="2"/>
          </rPr>
          <t>Length</t>
        </r>
      </text>
    </comment>
    <comment ref="AU2" authorId="0" shapeId="0" xr:uid="{00000000-0006-0000-1000-00002A000000}">
      <text>
        <r>
          <rPr>
            <sz val="9"/>
            <color rgb="FF000000"/>
            <rFont val="Tahoma"/>
            <family val="2"/>
          </rPr>
          <t>StudTypeDescription</t>
        </r>
      </text>
    </comment>
    <comment ref="AV2" authorId="0" shapeId="0" xr:uid="{00000000-0006-0000-1000-00002B000000}">
      <text>
        <r>
          <rPr>
            <sz val="9"/>
            <color rgb="FF000000"/>
            <rFont val="Tahoma"/>
            <family val="2"/>
          </rPr>
          <t>StudDescription</t>
        </r>
      </text>
    </comment>
    <comment ref="AW2" authorId="0" shapeId="0" xr:uid="{00000000-0006-0000-1000-00002C000000}">
      <text>
        <r>
          <rPr>
            <sz val="9"/>
            <color rgb="FF000000"/>
            <rFont val="Tahoma"/>
            <family val="2"/>
          </rPr>
          <t>BoltCompatibleStd</t>
        </r>
      </text>
    </comment>
  </commentList>
</comments>
</file>

<file path=xl/sharedStrings.xml><?xml version="1.0" encoding="utf-8"?>
<sst xmlns="http://schemas.openxmlformats.org/spreadsheetml/2006/main" count="8587" uniqueCount="594">
  <si>
    <t>Previews</t>
  </si>
  <si>
    <t>Sizes</t>
  </si>
  <si>
    <t>ShapeName</t>
  </si>
  <si>
    <t>D</t>
  </si>
  <si>
    <t>L</t>
  </si>
  <si>
    <t>OF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</si>
  <si>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</si>
  <si>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</si>
  <si>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</si>
  <si>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</si>
  <si>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</si>
  <si>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</si>
  <si>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</si>
  <si>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</si>
  <si>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</si>
  <si>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</si>
  <si>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</si>
  <si>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</si>
  <si>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</si>
  <si>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</si>
  <si>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</si>
  <si>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</si>
  <si>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</si>
  <si>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</si>
  <si>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</si>
  <si>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</si>
  <si>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</si>
  <si>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</si>
  <si>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</si>
  <si>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</si>
  <si>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</si>
  <si>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</si>
  <si>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</si>
  <si>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</si>
  <si>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</si>
  <si>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</si>
  <si>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</si>
  <si>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</si>
  <si>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</si>
  <si>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</si>
  <si>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</si>
  <si>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</si>
  <si>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</si>
  <si>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</si>
  <si>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</si>
  <si>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</si>
  <si>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UseFixedLength</t>
  </si>
  <si>
    <t>MinCutLength</t>
  </si>
  <si>
    <t>LinearWeight</t>
  </si>
  <si>
    <t>LinearWeightUnit</t>
  </si>
  <si>
    <t>PnPClassName</t>
  </si>
  <si>
    <t>ExcelFormatVersion_2.0</t>
  </si>
  <si>
    <t>Preview</t>
  </si>
  <si>
    <t>Shape Name</t>
  </si>
  <si>
    <t>15</t>
  </si>
  <si>
    <t>CPP</t>
  </si>
  <si>
    <t>D,L,OF,</t>
  </si>
  <si>
    <t>cfe7b956-c626-428f-9af2-9f1e4a24a5f4</t>
  </si>
  <si>
    <t>ALL</t>
  </si>
  <si>
    <t>mm</t>
  </si>
  <si>
    <t>21.34</t>
  </si>
  <si>
    <t>BV</t>
  </si>
  <si>
    <t>40</t>
  </si>
  <si>
    <t>0</t>
  </si>
  <si>
    <t>PIPE_SCH40</t>
  </si>
  <si>
    <t>Pipe Smls Plain Ends CS ASTM A106-B Dims to ASME B36.10</t>
  </si>
  <si>
    <t>CS</t>
  </si>
  <si>
    <t>960fff89-2309-48b7-bc03-e8832da9a462</t>
  </si>
  <si>
    <t>2</t>
  </si>
  <si>
    <t>Pipes</t>
  </si>
  <si>
    <t>Pipe</t>
  </si>
  <si>
    <t>20</t>
  </si>
  <si>
    <t>38b5f01d-45cb-4857-be0d-700c979f5bae</t>
  </si>
  <si>
    <t>26.67</t>
  </si>
  <si>
    <t>25</t>
  </si>
  <si>
    <t>873a7c74-5c37-47f5-beac-70bbfeb92da1</t>
  </si>
  <si>
    <t>33.4</t>
  </si>
  <si>
    <t>32</t>
  </si>
  <si>
    <t>373c1f2e-1733-447e-a520-053c43bf7ba6</t>
  </si>
  <si>
    <t>42.16</t>
  </si>
  <si>
    <t>Show details</t>
  </si>
  <si>
    <t>7dfa8e7b-8dfb-453d-bc48-3e08fc3ab132</t>
  </si>
  <si>
    <t>48.26</t>
  </si>
  <si>
    <t>50</t>
  </si>
  <si>
    <t>07381699-0afd-4bcc-bb12-6e78f25f3293</t>
  </si>
  <si>
    <t>60.32</t>
  </si>
  <si>
    <t>65</t>
  </si>
  <si>
    <t>2e89268e-c410-46d3-979c-72536e35c1a2</t>
  </si>
  <si>
    <t>73.03</t>
  </si>
  <si>
    <t>80</t>
  </si>
  <si>
    <t>e4e6de7d-b129-42f8-b9b7-4bb4bbf58040</t>
  </si>
  <si>
    <t>88.9</t>
  </si>
  <si>
    <t>90</t>
  </si>
  <si>
    <t>cea8a81c-3914-4cd3-abe5-ffbf4128cc05</t>
  </si>
  <si>
    <t>100</t>
  </si>
  <si>
    <t>2c474417-b843-4069-9a6d-ad287b2884b8</t>
  </si>
  <si>
    <t>114.3</t>
  </si>
  <si>
    <t>125</t>
  </si>
  <si>
    <t>5872a79a-0b88-4fed-92bc-966447471efb</t>
  </si>
  <si>
    <t>150</t>
  </si>
  <si>
    <t>8500dd92-36f6-47de-836a-651ffdcd3394</t>
  </si>
  <si>
    <t>168.3</t>
  </si>
  <si>
    <t>200</t>
  </si>
  <si>
    <t>8a47aa99-2ee2-447c-9320-53cd83e6019f</t>
  </si>
  <si>
    <t>219.1</t>
  </si>
  <si>
    <t>250</t>
  </si>
  <si>
    <t>1bcb6a51-d898-486b-b234-0be5028515b2</t>
  </si>
  <si>
    <t>273.1</t>
  </si>
  <si>
    <t>300</t>
  </si>
  <si>
    <t>5402f9b3-4daf-4a5f-b45d-b72a78ffa3cc</t>
  </si>
  <si>
    <t>323.9</t>
  </si>
  <si>
    <t>350</t>
  </si>
  <si>
    <t>14e66372-819e-4c9f-b9a8-eebce1c07685</t>
  </si>
  <si>
    <t>355.6</t>
  </si>
  <si>
    <t>400</t>
  </si>
  <si>
    <t>4b117d95-814f-43d0-b1ec-508bb4e16cdc</t>
  </si>
  <si>
    <t>406.4</t>
  </si>
  <si>
    <t>450</t>
  </si>
  <si>
    <t>5e02ef38-21a3-4ad7-b511-82f4276fe151</t>
  </si>
  <si>
    <t>457.2</t>
  </si>
  <si>
    <t>ScriptPath</t>
  </si>
  <si>
    <t>DN</t>
  </si>
  <si>
    <t>Script Path</t>
  </si>
  <si>
    <t>CUST_BLD_FLRF_CL150</t>
  </si>
  <si>
    <t>C:\AutoCAD Plant 3D 2026 Content\CPak Common\CustomScripts\__pycache__\CUST_BLD_FLRF_CL150.cpython-311.pyc</t>
  </si>
  <si>
    <t>92a759e6-db91-415b-b361-323218448215</t>
  </si>
  <si>
    <t>SW</t>
  </si>
  <si>
    <t>BLD_FLRF_CL150</t>
  </si>
  <si>
    <t>Flange. Blind CL150 RF smooth (3.2-6.3 um) CS ASTM A105N Dims to ASME B16.5</t>
  </si>
  <si>
    <t>4e724419-3fe8-498c-889f-9683d252bbdd</t>
  </si>
  <si>
    <t>1</t>
  </si>
  <si>
    <t>Flanges</t>
  </si>
  <si>
    <t>BlindFlange</t>
  </si>
  <si>
    <t>03d1ae23-4995-48b5-a955-5e74d11383ff</t>
  </si>
  <si>
    <t>a55cf302-8ec7-40bf-b168-7e5568a5b3c9</t>
  </si>
  <si>
    <t>fa2a7742-9e0e-41c2-ac29-c69d2d17a55b</t>
  </si>
  <si>
    <t>1f70a953-f359-4fa4-8f2a-0eee2ba05ac8</t>
  </si>
  <si>
    <t>b8465cbf-ab8b-4135-a0c9-b277ace7b4da</t>
  </si>
  <si>
    <t>a0dc9905-61e8-4f0a-9f33-147cfd8647eb</t>
  </si>
  <si>
    <t>e4942f7e-a508-4ac4-af23-5cdbc543e9fc</t>
  </si>
  <si>
    <t>0fabddee-8a2d-4053-ad00-b5a2f9529a0c</t>
  </si>
  <si>
    <t>1e35e4f9-1672-46d6-8840-e58ff9bc5466</t>
  </si>
  <si>
    <t>7147af0c-3892-448a-acab-522b58337dbd</t>
  </si>
  <si>
    <t>0a36733f-3a44-440a-937b-b21c87f4ed46</t>
  </si>
  <si>
    <t>e07828d5-d0f3-44d1-8ede-2113aca04a9a</t>
  </si>
  <si>
    <t>9846448c-ad46-4d0f-a41c-bf69d9e84fcb</t>
  </si>
  <si>
    <t>f399de05-1b6e-4c6c-b08c-73f3667cf4ab</t>
  </si>
  <si>
    <t>9159f084-0255-4264-a996-82592d060d39</t>
  </si>
  <si>
    <t>6e35d12e-4004-4035-bf36-e50ec67e3784</t>
  </si>
  <si>
    <t>89419d7f-ebb9-407a-8ada-a75284e072c1</t>
  </si>
  <si>
    <t>SizeRecordId_S1</t>
  </si>
  <si>
    <t>PortName_S1</t>
  </si>
  <si>
    <t>NominalDiameter_S1</t>
  </si>
  <si>
    <t>NominalUnit_S1</t>
  </si>
  <si>
    <t>MatchingPipeOd_S1</t>
  </si>
  <si>
    <t>EndType_S1</t>
  </si>
  <si>
    <t>FlangeStd_S1</t>
  </si>
  <si>
    <t>GasketStd_S1</t>
  </si>
  <si>
    <t>Facing_S1</t>
  </si>
  <si>
    <t>FlangeThickness_S1</t>
  </si>
  <si>
    <t>PressureClass_S1</t>
  </si>
  <si>
    <t>Schedule_S1</t>
  </si>
  <si>
    <t>WallThickness_S1</t>
  </si>
  <si>
    <t>EngagementLength_S1</t>
  </si>
  <si>
    <t>LengthUnit_S1</t>
  </si>
  <si>
    <t>SizeRecordId_S2</t>
  </si>
  <si>
    <t>PortName_S2</t>
  </si>
  <si>
    <t>NominalDiameter_S2</t>
  </si>
  <si>
    <t>NominalUnit_S2</t>
  </si>
  <si>
    <t>MatchingPipeOd_S2</t>
  </si>
  <si>
    <t>EndType_S2</t>
  </si>
  <si>
    <t>FlangeStd_S2</t>
  </si>
  <si>
    <t>GasketStd_S2</t>
  </si>
  <si>
    <t>Facing_S2</t>
  </si>
  <si>
    <t>FlangeThickness_S2</t>
  </si>
  <si>
    <t>PressureClass_S2</t>
  </si>
  <si>
    <t>Schedule_S2</t>
  </si>
  <si>
    <t>WallThickness_S2</t>
  </si>
  <si>
    <t>EngagementLength_S2</t>
  </si>
  <si>
    <t>LengthUnit_S2</t>
  </si>
  <si>
    <t>CUST_WN_FLRF_CL150</t>
  </si>
  <si>
    <t>C:\AutoCAD Plant 3D 2026 Content\CPak Common\CustomScripts\__pycache__\CUST_WN_FLRF_CL150.cpython-311.pyc</t>
  </si>
  <si>
    <t>f5838e72-f1e7-47e3-9ad8-ca75b5354e2f</t>
  </si>
  <si>
    <t>S1</t>
  </si>
  <si>
    <t>08cdfa7f-f081-47d0-aa22-baaf7eb40b62</t>
  </si>
  <si>
    <t>S2</t>
  </si>
  <si>
    <t>WN_FLRF_CL150</t>
  </si>
  <si>
    <t xml:space="preserve">Flange. WN CL150 RF smooth (3.2-6.3 um) CS ASTM A105N Dims to ASME B16.5 </t>
  </si>
  <si>
    <t>c17052bd-a37c-4ad6-9f9d-a99a8c57f8b5</t>
  </si>
  <si>
    <t>Flange</t>
  </si>
  <si>
    <t>6b730579-d49a-4d1a-937a-57fab43d63f2</t>
  </si>
  <si>
    <t>173f3293-f1d8-44f2-8e0b-a5d00ec64771</t>
  </si>
  <si>
    <t>30ebe079-0061-4ca5-9e9a-4b023a4f5bc6</t>
  </si>
  <si>
    <t>df40ff69-6b78-4b8b-8432-a723b2960b3a</t>
  </si>
  <si>
    <t>26f0e0e4-309b-42e8-b6c6-788c4cc38d23</t>
  </si>
  <si>
    <t>3692c6b6-5ef7-4982-bed7-a5dcaa21c6a0</t>
  </si>
  <si>
    <t>9ce09772-57a4-4966-a222-34120b3432b4</t>
  </si>
  <si>
    <t>84593a2c-b6c7-463f-b8ec-b670703edd6b</t>
  </si>
  <si>
    <t>a4854db2-a599-43ec-8a8a-12092b08a3b8</t>
  </si>
  <si>
    <t>dc8bd303-387b-4c22-adf9-02784cc96218</t>
  </si>
  <si>
    <t>fe8dd3a3-086f-4c8f-86c2-d4228bffcaaa</t>
  </si>
  <si>
    <t>9b81b670-9e99-46db-af08-233d7f646f7b</t>
  </si>
  <si>
    <t>ba3b59f9-d7a5-43a2-ad92-b801dc9196a7</t>
  </si>
  <si>
    <t>86dfbef3-d023-42de-a5d2-dc2de8a42162</t>
  </si>
  <si>
    <t>5380fe53-e050-4490-a08f-cc9808cd7971</t>
  </si>
  <si>
    <t>52e33ae9-8184-4f4d-97b7-e53e3ff1060c</t>
  </si>
  <si>
    <t>3e84edb5-448c-4eb6-8728-60bdde2f33b7</t>
  </si>
  <si>
    <t>a54e3e50-8c94-4b86-b494-284a797cd1be</t>
  </si>
  <si>
    <t>306c5054-87d8-419c-b920-a9590026da87</t>
  </si>
  <si>
    <t>6e527059-b1d4-4a3b-b314-7fcc694e9a3b</t>
  </si>
  <si>
    <t>0593e705-1a76-4736-9269-78670843d30f</t>
  </si>
  <si>
    <t>733f03c0-a49f-45c8-af9e-c7b3d9b11ef1</t>
  </si>
  <si>
    <t>ec1eced7-be75-4240-b79b-d560366c1f9b</t>
  </si>
  <si>
    <t>1d8fd1b1-c0a2-401e-825c-d6692ee32b87</t>
  </si>
  <si>
    <t>24b917e3-f4a0-44ee-b8fe-0d157b11129d</t>
  </si>
  <si>
    <t>9f33b23f-936f-40c7-9d3e-04539dbdf943</t>
  </si>
  <si>
    <t>b7a03bab-5626-40da-a52e-1fa2ed654243</t>
  </si>
  <si>
    <t>47ec9a0d-6b3b-4a69-8140-19fc9744c3e9</t>
  </si>
  <si>
    <t>0d894491-34b5-4500-a0ed-39e47afe9607</t>
  </si>
  <si>
    <t>f34ce9d5-1c2c-418e-a1a4-c905f52564e9</t>
  </si>
  <si>
    <t>58510cb9-5945-4c52-b901-7b2dafd8d93b</t>
  </si>
  <si>
    <t>31f58f21-8946-4e60-ab99-3c817124d796</t>
  </si>
  <si>
    <t>9897578c-edfa-4ba5-a170-36b06fc5098e</t>
  </si>
  <si>
    <t>846f5e60-0f32-4957-b64a-c6525ad22387</t>
  </si>
  <si>
    <t>CEL</t>
  </si>
  <si>
    <t>CUST_SO_FLRF_CL150</t>
  </si>
  <si>
    <t>C:\AutoCAD Plant 3D 2026 Content\CPak Common\CustomScripts\__pycache__\CUST_SO_FLRF_CL150.cpython-311.pyc</t>
  </si>
  <si>
    <t>DN,CEL</t>
  </si>
  <si>
    <t>a5e7d16e-025b-4536-bf4a-cc1952e5ebf8</t>
  </si>
  <si>
    <t>5656a1b1-9b42-4df1-9d73-5050055bfa1c</t>
  </si>
  <si>
    <t>SO</t>
  </si>
  <si>
    <t>SO_FLRF_CL150</t>
  </si>
  <si>
    <t>Flange. Slip-on Hub CL150 RF smooth (3.2-6.3 um) CS ASTM A105N Dims to ASME B16.5</t>
  </si>
  <si>
    <t>ff921f0e-4cfd-4d5d-a134-be21e7eec3ba</t>
  </si>
  <si>
    <t>f4f75ccc-ebf5-4070-a703-8ce25d1b0c3e</t>
  </si>
  <si>
    <t>dedb5e82-22dc-43d9-bf70-76908ec9944d</t>
  </si>
  <si>
    <t>a9ac2ddd-03b8-4a8a-8ded-d4373c23a891</t>
  </si>
  <si>
    <t>8dbff342-a678-420d-802c-5cd84430da68</t>
  </si>
  <si>
    <t>d7c616f8-9587-451b-9ce1-49cd9526c8af</t>
  </si>
  <si>
    <t>57604c0a-38ab-46ea-9a29-088c6cb17448</t>
  </si>
  <si>
    <t>062023dc-4257-43a3-a031-ea82b4965c9f</t>
  </si>
  <si>
    <t>a64e3d96-5d8d-408d-8de1-871e36c94aeb</t>
  </si>
  <si>
    <t>d6c9b80e-2b8f-4b40-8a94-dc5b22c22704</t>
  </si>
  <si>
    <t>2846f27c-9b36-4299-9f76-6912842e427d</t>
  </si>
  <si>
    <t>0c19b506-fd25-454d-b653-816b06edeecc</t>
  </si>
  <si>
    <t>d902e17e-9214-43a4-be8e-57309d9e6786</t>
  </si>
  <si>
    <t>d95f0d5c-5840-4041-8bc8-031b5562157e</t>
  </si>
  <si>
    <t>e6c31a2f-1a66-4968-9f4e-deab01b0a5c0</t>
  </si>
  <si>
    <t>4ce2af4b-3f49-4683-9ec8-d88920d24f67</t>
  </si>
  <si>
    <t>fdd02748-3e53-43f3-80d5-67653c55139a</t>
  </si>
  <si>
    <t>aaa4ba80-abf5-46a1-a7ca-43a8335eea87</t>
  </si>
  <si>
    <t>a450b14b-0def-419c-8ba4-5cfb9d61f41b</t>
  </si>
  <si>
    <t>c7f5f2d0-8d10-41eb-a1b7-622b4761f8b4</t>
  </si>
  <si>
    <t>6e8b8ffd-3373-49b3-aecf-ba09ae2aa65b</t>
  </si>
  <si>
    <t>ab3f26e1-2bb6-43b5-9307-0634cfdf546f</t>
  </si>
  <si>
    <t>42aed017-c541-49ad-9e00-966b831bcd65</t>
  </si>
  <si>
    <t>bf25e346-c7b9-4109-b503-e27f7e5be476</t>
  </si>
  <si>
    <t>67ab0f9e-6321-4821-9c47-7dab0d016327</t>
  </si>
  <si>
    <t>3a6dec95-99f1-4f1c-8f4c-99a68e255806</t>
  </si>
  <si>
    <t>a98d297e-6fdc-4ef9-ab68-3d71a5d2391d</t>
  </si>
  <si>
    <t>6b53adcc-ab04-480d-b033-f7123c87c544</t>
  </si>
  <si>
    <t>1ea39ba9-e562-4ba5-a1cb-cc165a6e354f</t>
  </si>
  <si>
    <t>ed3add24-3bef-4bd7-a757-5fb48c018f42</t>
  </si>
  <si>
    <t>db8c8189-184e-48a3-aa8b-71c5b3b4af14</t>
  </si>
  <si>
    <t>4be40c43-6063-4503-9ac7-05c0cdfd8aa6</t>
  </si>
  <si>
    <t>fc35d98b-85ca-46b0-a11c-b677ad85a632</t>
  </si>
  <si>
    <t>7b03722a-49c2-4c93-ac13-f0f6b1bdd433</t>
  </si>
  <si>
    <t>b6aec81f-4951-4823-9d98-cdb5b3add4b5</t>
  </si>
  <si>
    <t>DN2</t>
  </si>
  <si>
    <t>BranchAngle1</t>
  </si>
  <si>
    <t>BranchAngle2</t>
  </si>
  <si>
    <t>Eccentricity</t>
  </si>
  <si>
    <t>CUST_TEE_REDUCE_SW_CL3000</t>
  </si>
  <si>
    <t>C:\AutoCAD Plant 3D 2026 Content\CPak Common\CustomScripts\__pycache__\CUST_TEE_REDUCE_SW_CL3000.cpython-311.pyc</t>
  </si>
  <si>
    <t>DN,DN2</t>
  </si>
  <si>
    <t>33af2d90-2ed0-49d0-b398-6a3d7ca8aa37</t>
  </si>
  <si>
    <t>3000</t>
  </si>
  <si>
    <t>TEE_REDUCE_SW_CL3000</t>
  </si>
  <si>
    <t>Tee Red SW CL3000 CS ASTM A105N Dims to ASME B16.11</t>
  </si>
  <si>
    <t>83b95679-8097-4526-8560-c84302ebff4c</t>
  </si>
  <si>
    <t>3</t>
  </si>
  <si>
    <t>Fittings</t>
  </si>
  <si>
    <t>Tee</t>
  </si>
  <si>
    <t>39873491-ad17-4715-a23d-3ac23a0179c1</t>
  </si>
  <si>
    <t>28e53ce1-c643-4e29-a40c-0b43633b671a</t>
  </si>
  <si>
    <t>ee0f7fb2-a55a-459c-8a91-a96c5352cccc</t>
  </si>
  <si>
    <t>c7af8713-63b3-488f-9130-2994ec04c0b1</t>
  </si>
  <si>
    <t>c8c3e7cd-b403-4611-9784-4405bde3cccd</t>
  </si>
  <si>
    <t>6ba5fedb-3a8e-42b0-aedf-f51653194455</t>
  </si>
  <si>
    <t>76fa3043-a8b6-4160-aec7-404ccc72821e</t>
  </si>
  <si>
    <t>493030ec-39b9-4ad4-8c40-7cbdb2434996</t>
  </si>
  <si>
    <t>17239ba1-2650-476e-a74a-8b231926e48c</t>
  </si>
  <si>
    <t>446846d1-8857-4146-8e92-5786101df50d</t>
  </si>
  <si>
    <t>f6661e0a-84bb-47a3-8d6b-eddc4baa6b81</t>
  </si>
  <si>
    <t>35eed9c0-3519-4bd2-a381-63823aaffa71</t>
  </si>
  <si>
    <t>bfb59e3b-d6a7-46fc-96f4-d7f3b8ceed2d</t>
  </si>
  <si>
    <t>2b4c5758-9184-460e-a488-b5cc65b36c76</t>
  </si>
  <si>
    <t>75758308-dc83-4b6a-8fde-39651d9c9fb4</t>
  </si>
  <si>
    <t>6c244b1e-d61b-4f43-8b13-06973cdf8e43</t>
  </si>
  <si>
    <t>a0d503a4-a3b5-4854-b44d-37d7483d9311</t>
  </si>
  <si>
    <t>CUST_TEE_EQ_SW_CL3000</t>
  </si>
  <si>
    <t>C:\AutoCAD Plant 3D 2026 Content\CPak Common\CustomScripts\__pycache__\CUST_TEE_EQ_SW_CL3000.cpython-311.pyc</t>
  </si>
  <si>
    <t>7fbe5b16-3c7e-42e1-bfe1-d43da3edd45d</t>
  </si>
  <si>
    <t>TEE_EQ_SW_CL3000</t>
  </si>
  <si>
    <t>Tee Equal SW CL3000 CS ASTM A105N Dims to ASME B16.11</t>
  </si>
  <si>
    <t>0577716a-441a-4d75-b7e6-897c0ca57252</t>
  </si>
  <si>
    <t>c6ec646a-0485-444f-bbbc-bce47cba6132</t>
  </si>
  <si>
    <t>09e61b48-d30b-4ea9-863e-7f0607269def</t>
  </si>
  <si>
    <t>c60402ff-6c1b-49f3-832e-a4162654c1ca</t>
  </si>
  <si>
    <t>949d287c-a17c-4e3e-9b13-27434f8bd1ce</t>
  </si>
  <si>
    <t>05931475-bded-4076-a592-c7d9c16f28f0</t>
  </si>
  <si>
    <t>00eafce2-eb2c-461d-865a-bc426367f192</t>
  </si>
  <si>
    <t>095971f2-4d23-4440-b4fe-1c9439b0131f</t>
  </si>
  <si>
    <t>729b9be5-84ce-4591-962c-ee51721e3b5c</t>
  </si>
  <si>
    <t>d0f7ac8f-7ce8-4dbf-b40c-2bd2cf964840</t>
  </si>
  <si>
    <t>d476ce26-4a8f-4b05-ae05-d016508596f1</t>
  </si>
  <si>
    <t>162da022-be87-4a8c-bdf8-37c5880faa42</t>
  </si>
  <si>
    <t>a358359c-6d6d-490e-9827-7bf83be699e1</t>
  </si>
  <si>
    <t>50ec1510-63dd-4efa-bec1-ca857078c365</t>
  </si>
  <si>
    <t>c0b3a66d-f4ed-4480-be01-68d386dedfc1</t>
  </si>
  <si>
    <t>7656aa86-9055-42ab-a97a-7aaafa0b40b0</t>
  </si>
  <si>
    <t>1ddad0e7-8b60-413f-b7d2-a558e17e0deb</t>
  </si>
  <si>
    <t>15cc8e5b-6cc7-463b-b6d2-03dd9a276dab</t>
  </si>
  <si>
    <t>CUST_TEE_REDUCE_BW_SCH40</t>
  </si>
  <si>
    <t>C:\AutoCAD Plant 3D 2026 Content\CPak Common\CustomScripts\__pycache__\CUST_TEE_REDUCE_BW_SCH40.cpython-311.pyc</t>
  </si>
  <si>
    <t>b8195b09-f0a9-4f33-be0f-cf8f3b7f507b</t>
  </si>
  <si>
    <t>TEE_REDUCE_BW_SCH40</t>
  </si>
  <si>
    <t xml:space="preserve"> Tee Red BW Welded CS ASTM A234-WPB. Dims to ASME B16.9</t>
  </si>
  <si>
    <t>27aa17c9-271d-4233-9374-4644b0b9f328</t>
  </si>
  <si>
    <t>5f67ee72-bd39-469d-b3c8-313ef3b7449d</t>
  </si>
  <si>
    <t>1d24cde9-32d4-4da8-8040-b02e2fb94800</t>
  </si>
  <si>
    <t>75e5aadb-6ec2-48bb-83c6-d3fb42ad3097</t>
  </si>
  <si>
    <t>bb4634e2-716a-4358-80f9-2de2f3a17297</t>
  </si>
  <si>
    <t>426d9af7-bccd-429d-9f8b-d82b4addc3bc</t>
  </si>
  <si>
    <t>550db582-3d56-4e00-92e7-5948450c35e7</t>
  </si>
  <si>
    <t>5072b969-fff7-4b65-8d10-20ffdd6fb927</t>
  </si>
  <si>
    <t>27189db1-34aa-4c19-a907-6473c0f4ccbc</t>
  </si>
  <si>
    <t>788631b4-d4dc-495c-ac60-8d230fd23407</t>
  </si>
  <si>
    <t>333c30e1-9525-4255-8865-f40e224531f8</t>
  </si>
  <si>
    <t>df1e8846-cf76-4fe0-a32e-3ff40cd19fce</t>
  </si>
  <si>
    <t>23e6f226-a8fd-4503-a9e1-797d8b02e019</t>
  </si>
  <si>
    <t>5dc3b241-7e66-4f66-b133-61ee30cd91e2</t>
  </si>
  <si>
    <t>2e41569f-fd72-4ace-9f9b-e6e39e1f8910</t>
  </si>
  <si>
    <t>325c3b06-dfa2-4f49-b9dc-d315e67d094d</t>
  </si>
  <si>
    <t>848ef9fb-aa37-4ea4-82c4-c5b3675c607f</t>
  </si>
  <si>
    <t>87eea329-861e-4836-8f27-b7ac22ff3eca</t>
  </si>
  <si>
    <t>CUST_TEE_EQ_BW_SCH40</t>
  </si>
  <si>
    <t>C:\AutoCAD Plant 3D 2026 Content\CPak Common\CustomScripts\__pycache__\CUST_TEE_EQ_BW_SCH40.cpython-311.pyc</t>
  </si>
  <si>
    <t>a6198ac4-6e81-49bc-8d2f-28ade2cbdb15</t>
  </si>
  <si>
    <t>TEE_EQ_BW_SCH40</t>
  </si>
  <si>
    <t>Tee Equal BW. Welded CS ASTM A234-WPB. Dims to ASME B16.9</t>
  </si>
  <si>
    <t>7a51f724-bd44-4f1a-ae50-54ad55b5cf9e</t>
  </si>
  <si>
    <t>3aebecd2-64ff-4288-a34a-0a8ce2e5ca48</t>
  </si>
  <si>
    <t>22cf053e-c786-47fa-babf-c17a571e1da0</t>
  </si>
  <si>
    <t>a43e2ec8-50f6-4609-ba84-7461faf20abf</t>
  </si>
  <si>
    <t>35706cbe-ec5b-448b-a379-efa24dd1c8be</t>
  </si>
  <si>
    <t>afb6e3c6-7e3e-4780-8b87-401ba7dd580c</t>
  </si>
  <si>
    <t>1328fb20-f900-4f5f-b6fe-816fa76f87b4</t>
  </si>
  <si>
    <t>f83d1cc2-96ad-4e07-8bdf-fb89a39b436b</t>
  </si>
  <si>
    <t>7d9461f2-18c8-458c-b6fb-35edb7c03182</t>
  </si>
  <si>
    <t>f83c0411-42ca-4dc4-a371-9c39adec2b3d</t>
  </si>
  <si>
    <t>3e0dba16-bb79-4607-9e79-2c7c3b0b2a54</t>
  </si>
  <si>
    <t>de2351d3-a7f9-4d29-8621-5d8ab466b153</t>
  </si>
  <si>
    <t>049803ab-7438-44b0-8452-8b42bc007ebc</t>
  </si>
  <si>
    <t>8c7c264f-9ed0-4de9-b083-6bf62caaed3a</t>
  </si>
  <si>
    <t>8cd40018-0bd5-4a59-ab5a-adbc689f65de</t>
  </si>
  <si>
    <t>341ab5e8-2366-44b3-b85f-3dc6ab39c051</t>
  </si>
  <si>
    <t>1e4ee2f7-9dc4-4267-8ffb-c58d52a47fcc</t>
  </si>
  <si>
    <t>1ccb3409-9e8c-4c31-a0a6-46ed37247995</t>
  </si>
  <si>
    <t>CUST_REDUCER_ECC_BW_SCH40</t>
  </si>
  <si>
    <t>C:\AutoCAD Plant 3D 2026 Content\CPak Common\CustomScripts\__pycache__\CUST_REDUCER_ECC_BW_SCH40.cpython-311.pyc</t>
  </si>
  <si>
    <t>75f56f26-343b-4983-8a69-9add412efe07</t>
  </si>
  <si>
    <t>REDUCER_ECC_BW_SCH40</t>
  </si>
  <si>
    <t>Reducer Ecc. BW Welded CS ASTM A234-WPB. Dims to ASME B16.9</t>
  </si>
  <si>
    <t>c3fc8fbf-0a33-4357-bc34-c7a671678163</t>
  </si>
  <si>
    <t>Reducer</t>
  </si>
  <si>
    <t>2b1c24e9-1109-4562-a992-bcf4d3156d35</t>
  </si>
  <si>
    <t>c9983773-94a4-49a1-b27f-3332fe0d2a4e</t>
  </si>
  <si>
    <t>d5093422-83f9-4ed7-ae96-be8a0794d4a0</t>
  </si>
  <si>
    <t>9fd05407-bee1-4172-988f-3a32513b2380</t>
  </si>
  <si>
    <t>94c2e84a-68c2-4345-a1e5-7982af6aa501</t>
  </si>
  <si>
    <t>02a1bbf8-2567-47e4-af10-0d322c40b067</t>
  </si>
  <si>
    <t>428f831a-5378-4fc6-9735-da173aef90c1</t>
  </si>
  <si>
    <t>65738883-9e3f-4e30-bcdc-cd0ae510b463</t>
  </si>
  <si>
    <t>fbf7b7e0-7d38-44cc-b8d9-7a24539f539b</t>
  </si>
  <si>
    <t>b1326c14-8393-426f-8c6b-89f2ec1ad095</t>
  </si>
  <si>
    <t>1a77c90e-dd6d-4a04-8ae2-0a33a3ed69ad</t>
  </si>
  <si>
    <t>fe428e35-e80a-4dea-accc-501989ddd6e4</t>
  </si>
  <si>
    <t>bfb75568-38e1-4db4-9316-1fc4b4de750a</t>
  </si>
  <si>
    <t>29fab863-3955-4e67-adee-6fa4e4dfd1ee</t>
  </si>
  <si>
    <t>93bbf20b-4548-4a55-9402-4a550cdbba5a</t>
  </si>
  <si>
    <t>cb14bea3-4aa5-48ab-b85d-ff11f9708078</t>
  </si>
  <si>
    <t>0ec1327e-f2cb-49f9-b0fd-960a46d1fb2b</t>
  </si>
  <si>
    <t>CUST_REDUCER_CONC_BW_SCH40</t>
  </si>
  <si>
    <t>C:\AutoCAD Plant 3D 2026 Content\CPak Common\CustomScripts\__pycache__\CUST_REDUCER_CONC_BW_SCH40.cpython-311.pyc</t>
  </si>
  <si>
    <t>c97d6afe-561f-43cf-a8b0-2c2deebc9800</t>
  </si>
  <si>
    <t>REDUCER_CONC_BW_SCH40</t>
  </si>
  <si>
    <t>Reducer Conc. BW Welded CS ASTM A234-WPB. Dims to ASME B16.9</t>
  </si>
  <si>
    <t>36d32772-2b9d-4499-a1d1-2e2274dbd95f</t>
  </si>
  <si>
    <t>7c20bece-1295-4f1f-ad35-367cff45958f</t>
  </si>
  <si>
    <t>4fe911c5-4a03-491e-894d-6fae0d042df7</t>
  </si>
  <si>
    <t>cabdc6c4-bb64-45ad-aa8e-2c78e1dd414a</t>
  </si>
  <si>
    <t>48457617-4c87-44a8-8dea-4ca13d5b87bc</t>
  </si>
  <si>
    <t>2fbf2501-d6cf-4184-91dd-37ee0c60eaf0</t>
  </si>
  <si>
    <t>fcaeef67-1dc7-4e77-8ef7-f3ccf31a94d6</t>
  </si>
  <si>
    <t>3878bb53-54d6-4a6b-a601-d0f63f9d7121</t>
  </si>
  <si>
    <t>84a79ebd-3f88-4819-b5f5-f7947c978782</t>
  </si>
  <si>
    <t>e0bf9041-9e3e-4dfa-890b-ca4cf88eb4c6</t>
  </si>
  <si>
    <t>cf279d04-f799-4d7f-99fb-cd61d1338658</t>
  </si>
  <si>
    <t>00a60cf2-09ae-4112-acd7-418bf82a83b3</t>
  </si>
  <si>
    <t>b20ff621-5525-47de-b2b9-793554d85572</t>
  </si>
  <si>
    <t>42d0309d-f41f-42b8-a3a6-75536684d671</t>
  </si>
  <si>
    <t>c3c6be74-668e-4876-96dd-7ea4ed53d7cc</t>
  </si>
  <si>
    <t>ae3ede34-3d84-4e04-a6be-afb1d0b4bd3e</t>
  </si>
  <si>
    <t>9b0518d9-db9c-4f8a-a1ff-74a96a0ac399</t>
  </si>
  <si>
    <t>c450f199-e534-466a-8b92-f13d865a6852</t>
  </si>
  <si>
    <t>PathAngle</t>
  </si>
  <si>
    <t>CurveRadius</t>
  </si>
  <si>
    <t>SegmentCount</t>
  </si>
  <si>
    <t>CUST_ELBOW_45_SW_CL3000</t>
  </si>
  <si>
    <t>C:\AutoCAD Plant 3D 2026 Content\CPak Common\CustomScripts\__pycache__\CUST_ELBOW_45_SW_CL3000.cpython-311.pyc</t>
  </si>
  <si>
    <t>b78a794e-16e4-4575-b497-c20c92ebd8a2</t>
  </si>
  <si>
    <t>FL</t>
  </si>
  <si>
    <t>ELBOW_45_SW_CL3000</t>
  </si>
  <si>
    <t>Elbow 45 deg SW CL3000 CS ASTM A105N Dims to ASME B16.11</t>
  </si>
  <si>
    <t>a5dbea0d-d4aa-4167-8d0a-b380fdba6259</t>
  </si>
  <si>
    <t>Elbow</t>
  </si>
  <si>
    <t>be95769e-77fc-47b7-b820-b18c762ebe5b</t>
  </si>
  <si>
    <t>219fe4a6-6673-4e3a-bcb7-927fa193b8df</t>
  </si>
  <si>
    <t>242121d3-c91f-4f6a-aaf8-8cd1e722d554</t>
  </si>
  <si>
    <t>fada88ef-f6fc-44ee-9d9e-f46206e660b7</t>
  </si>
  <si>
    <t>d808779d-e914-4d27-9931-e4cb4b647465</t>
  </si>
  <si>
    <t>b7f5902c-d428-4492-a6be-d0e6a9a59daf</t>
  </si>
  <si>
    <t>a316a433-315d-4c79-81cf-34343bbb63a9</t>
  </si>
  <si>
    <t>f51b4dec-4364-4cb8-83ff-ec76755b35b8</t>
  </si>
  <si>
    <t>207388f0-2bfb-40f0-85ab-c61651e52de7</t>
  </si>
  <si>
    <t>e3ca9d91-9008-4169-9aae-5b29f1656549</t>
  </si>
  <si>
    <t>19851ff1-2876-4341-a808-66f44869287f</t>
  </si>
  <si>
    <t>eb21830e-2115-4892-8e7a-6609f3a8b813</t>
  </si>
  <si>
    <t>d870ed7c-bb20-4e7b-9df2-97e38ba19640</t>
  </si>
  <si>
    <t>a6d5baea-fd2c-46a8-b53c-73e879a5ea2b</t>
  </si>
  <si>
    <t>b3c1f23e-76bb-49d7-831e-dd1abb214c18</t>
  </si>
  <si>
    <t>14ea97c9-ffb9-4832-abf5-0fa421f7142f</t>
  </si>
  <si>
    <t>3c87207a-81fd-40b6-9f31-0ae53d59f351</t>
  </si>
  <si>
    <t>CUST_ELBOW_45_LR_BW_SCH40</t>
  </si>
  <si>
    <t>C:\AutoCAD Plant 3D 2026 Content\CPak Common\CustomScripts\__pycache__\CUST_ELBOW_45_LR_BW_SCH40.cpython-311.pyc</t>
  </si>
  <si>
    <t>0fafaf8c-94e0-4721-bc7e-d44ea259c4c4</t>
  </si>
  <si>
    <t>ELBOW_45_LR_BW_SCH40</t>
  </si>
  <si>
    <t>Elbow 45 deg LR BW. Welded CS ASTM A234-WPB. Dims to ASME B16.9</t>
  </si>
  <si>
    <t>43acda93-1588-4df9-908f-9d7885427188</t>
  </si>
  <si>
    <t>a17dd4e7-44a5-4b72-b125-7f8b14f4e2cd</t>
  </si>
  <si>
    <t>aa441449-7740-4774-8f53-29b8fb7bfc9f</t>
  </si>
  <si>
    <t>1292e066-c472-4751-ae61-31e55f8bf0ad</t>
  </si>
  <si>
    <t>f36265bc-4b8b-49b4-9fd5-1cbd610e36c0</t>
  </si>
  <si>
    <t>c27718c3-d647-4205-8548-03b61ef37843</t>
  </si>
  <si>
    <t>fa764bdb-97cb-4136-95ab-0777702fed84</t>
  </si>
  <si>
    <t>80e8331c-7fe1-4d6a-bdfd-b35d58c2917b</t>
  </si>
  <si>
    <t>a5ef0e84-7db9-45d3-a58f-2033e5d4ea4c</t>
  </si>
  <si>
    <t>548c2c5d-ff45-4ac9-8c64-5f44f3c4ec1a</t>
  </si>
  <si>
    <t>872f9ac3-3049-42a1-b7cd-0b6802a44189</t>
  </si>
  <si>
    <t>bfa1a4ef-3fbf-4f70-bea7-f6eedb8c6f92</t>
  </si>
  <si>
    <t>6630e384-6403-49aa-b39c-459cfb458840</t>
  </si>
  <si>
    <t>5f052df4-db05-497a-b96f-21a10db0ce54</t>
  </si>
  <si>
    <t>47f557e0-e6cc-45f6-8c69-002926a28281</t>
  </si>
  <si>
    <t>c3f27403-49d7-44bf-9edd-26e9be320c7c</t>
  </si>
  <si>
    <t>c192e2df-3968-4790-b45f-ffee9d06d4fc</t>
  </si>
  <si>
    <t>21acca11-cc29-40af-894e-04c6f91b2774</t>
  </si>
  <si>
    <t>CUST_ELBOW_90_SR_BW_SCH40</t>
  </si>
  <si>
    <t>C:\AutoCAD Plant 3D 2026 Content\CPak Common\CustomScripts\__pycache__\CUST_ELBOW_90_SR_BW_SCH40.cpython-311.pyc</t>
  </si>
  <si>
    <t>9e564892-690d-48ec-9f1a-bfa41eee9932</t>
  </si>
  <si>
    <t>ELBOW_90_SR_BW_SCH40</t>
  </si>
  <si>
    <t>Elbow 90 deg SR BW. Welded CS ASTM A234-WPB. Dims to ASME B16.9</t>
  </si>
  <si>
    <t>14526ac6-50ab-423c-be21-324e5f9454f7</t>
  </si>
  <si>
    <t>341f5c96-9b79-4470-9d44-c0134a585ead</t>
  </si>
  <si>
    <t>08ed3120-81e9-4a99-a0d1-8e8eb571334b</t>
  </si>
  <si>
    <t>da4b0665-f7cc-4dca-82fc-c7d7be03bec9</t>
  </si>
  <si>
    <t>fa7a74ac-9086-4509-979e-f604c097bd06</t>
  </si>
  <si>
    <t>a4ce31bd-1264-439f-b385-e740d5a49c9f</t>
  </si>
  <si>
    <t>0b28f3ff-a51f-4de9-bbe0-abe4bdcdd985</t>
  </si>
  <si>
    <t>5a6c0b49-d636-4a7c-8fe0-3878aab50608</t>
  </si>
  <si>
    <t>0d78d8cf-a7af-4627-9373-08652b277117</t>
  </si>
  <si>
    <t>cac203b6-58f8-4b9a-a161-82d50f5e8a51</t>
  </si>
  <si>
    <t>6ac0bdc8-fe48-40ec-bdb0-c1392a28f407</t>
  </si>
  <si>
    <t>da8daeb6-fb3b-4bfb-a948-9940ec813f58</t>
  </si>
  <si>
    <t>e9d6309e-040e-438c-a482-b0e3c12ebb8d</t>
  </si>
  <si>
    <t>8c4b7d8e-f47c-4a5c-bd62-be249d1b52f2</t>
  </si>
  <si>
    <t>2b22c815-beec-4219-a98b-6a8b129ee88c</t>
  </si>
  <si>
    <t>c924333f-f52c-45bc-bc65-880cf15715d3</t>
  </si>
  <si>
    <t>91a7a054-e4c4-469b-9227-26309b507372</t>
  </si>
  <si>
    <t>02de2dee-0c9d-42b7-bda5-51c1f8b9d592</t>
  </si>
  <si>
    <t>CUST_ELBOW_90_SW_CL3000</t>
  </si>
  <si>
    <t>C:\AutoCAD Plant 3D 2026 Content\CPak Common\CustomScripts\__pycache__\CUST_ELBOW_90_SW_CL3000.cpython-311.pyc</t>
  </si>
  <si>
    <t>720aa402-c283-4a61-9a72-f8515324d0b5</t>
  </si>
  <si>
    <t>ELBOW_90_SW_CL3000</t>
  </si>
  <si>
    <t>Elbow 90 deg SW CL3000 CS ASTM A105N Dims to ASME B16.11</t>
  </si>
  <si>
    <t>99daba9d-1753-44c5-91bc-33e822c53a6d</t>
  </si>
  <si>
    <t>2590c9e1-57f8-4df8-9733-c91a6d435428</t>
  </si>
  <si>
    <t>9383536a-1d05-42fc-b16a-7c77e61007ba</t>
  </si>
  <si>
    <t>fbb17820-e137-48b5-a5ee-42efb1c45d6b</t>
  </si>
  <si>
    <t>ccfd54e5-0006-4651-8425-d79d49e17929</t>
  </si>
  <si>
    <t>a8504834-4790-404f-ada1-9a5cec7190ae</t>
  </si>
  <si>
    <t>8b95813e-5d81-4414-96d8-6fb6b5534faa</t>
  </si>
  <si>
    <t>036e7960-0138-4831-b6f9-560fef59b78e</t>
  </si>
  <si>
    <t>aecd33a0-8616-4f49-a8ba-1451f735a9d0</t>
  </si>
  <si>
    <t>2636ad83-5746-4e80-824d-a8d6a14ce21a</t>
  </si>
  <si>
    <t>6a2918f7-73ee-45d0-8df4-08f47d245780</t>
  </si>
  <si>
    <t>a3c0b66a-e217-4609-a1e9-463c06c99d96</t>
  </si>
  <si>
    <t>dd24c4bb-bc77-48c8-8120-4fe841436115</t>
  </si>
  <si>
    <t>056bed60-8573-4f6e-b15c-02a18a748824</t>
  </si>
  <si>
    <t>6cbb5562-0c04-4e11-b25c-65710d56795f</t>
  </si>
  <si>
    <t>6068bd8c-7a39-47cb-949c-00625fdb837d</t>
  </si>
  <si>
    <t>c688e8f1-9fcc-46da-8b50-a6798087e5cb</t>
  </si>
  <si>
    <t>0dae8d7b-beff-41b7-b4d8-8128188f88e8</t>
  </si>
  <si>
    <t>CUST_ELBOW_90_LR_BW_SCH40</t>
  </si>
  <si>
    <t>C:\AutoCAD Plant 3D 2026 Content\CPak Common\CustomScripts\__pycache__\CUST_ELBOW_90_LR_BW_SCH40.cpython-311.pyc</t>
  </si>
  <si>
    <t>bdcfc19e-5d9f-426e-b30a-8b7d06451153</t>
  </si>
  <si>
    <t>ELBOW_90_LR_BW_SCH40</t>
  </si>
  <si>
    <t>Elbow 90 deg LR BW. Welded CS ASTM A234-WPB. Dims to ASME B16.9</t>
  </si>
  <si>
    <t>a65775c8-12d3-43a6-ba90-6e9e2d027814</t>
  </si>
  <si>
    <t>33effa7c-5c76-49c6-9a76-c441ca99d042</t>
  </si>
  <si>
    <t>fe06e25b-b95e-44bc-a677-1c4f61ecb2ce</t>
  </si>
  <si>
    <t>85802a25-5af8-4560-a352-eb3371f616ac</t>
  </si>
  <si>
    <t>328069c1-e756-4267-8a06-62fbee959106</t>
  </si>
  <si>
    <t>3bf8bba7-c999-4039-aa93-e26f1f0c5029</t>
  </si>
  <si>
    <t>be8463cf-d3e2-489e-85d9-a95e11bf5eea</t>
  </si>
  <si>
    <t>9ee4a8fe-577b-4306-8497-0fda5d905b12</t>
  </si>
  <si>
    <t>3872341a-78f1-454c-9524-ea0b832c0730</t>
  </si>
  <si>
    <t>379576ef-97b1-443e-b687-e2500fed3af8</t>
  </si>
  <si>
    <t>5787ef9b-44a2-4965-a864-71d6c00b0300</t>
  </si>
  <si>
    <t>74ad0b63-68e6-4771-851a-aaf174a31086</t>
  </si>
  <si>
    <t>e48f0884-d12e-4a6f-985e-3482f4132b5a</t>
  </si>
  <si>
    <t>05267e38-9d1b-47ad-a6b2-4e8ccf030319</t>
  </si>
  <si>
    <t>655f7b08-f1a5-431d-b5ce-a9639dbed79d</t>
  </si>
  <si>
    <t>2b0035e3-13fd-448a-8ce8-7f770d97a891</t>
  </si>
  <si>
    <t>bed82ee6-9bf8-42f3-bbe7-aea358b2eaad</t>
  </si>
  <si>
    <t>bc4d224e-d72f-454c-898c-ae500026ab2e</t>
  </si>
  <si>
    <t>T</t>
  </si>
  <si>
    <t>CUST_GSK_RF_CL150</t>
  </si>
  <si>
    <t>C:\AutoCAD Plant 3D 2026 Content\CPak Common\CustomScripts\__pycache__\CUST_GSK_RF_CL150.cpython-311.pyc</t>
  </si>
  <si>
    <t>DN,T</t>
  </si>
  <si>
    <t>dcbcb97a-b446-49a5-a686-149b081d8d7f</t>
  </si>
  <si>
    <t>Undefined_ET</t>
  </si>
  <si>
    <t>RF</t>
  </si>
  <si>
    <t>GSK_RF_CL150</t>
  </si>
  <si>
    <t>Gasket CNAF Ring-Type CL150 Klingersil C4500</t>
  </si>
  <si>
    <t>CNAF</t>
  </si>
  <si>
    <t>ce58bef9-94c8-4641-b3c9-4c8c5712efb3</t>
  </si>
  <si>
    <t>Fasteners</t>
  </si>
  <si>
    <t>Gasket</t>
  </si>
  <si>
    <t>c849322c-7799-4227-b286-fc0b5938ecdb</t>
  </si>
  <si>
    <t>d8def99d-6716-4af4-8163-bdec5d962eaf</t>
  </si>
  <si>
    <t>3f4634c7-439a-4495-a148-4ed5ffed066a</t>
  </si>
  <si>
    <t>092930d7-8188-480f-aeb1-edaccf660eb9</t>
  </si>
  <si>
    <t>f6b2a446-2d70-4d55-8bef-751d5a7e4772</t>
  </si>
  <si>
    <t>41c2b47a-2b4c-4954-b4a8-473f265721c1</t>
  </si>
  <si>
    <t>ac3f76e2-4146-4435-8410-8c89a7de96bb</t>
  </si>
  <si>
    <t>40806ab0-898e-4125-9692-e2447f6e7600</t>
  </si>
  <si>
    <t>0b15114a-1f7b-46ea-929a-3cf5e6c71709</t>
  </si>
  <si>
    <t>0ebd04fc-5fe8-4f04-ada9-ff7bf73ab864</t>
  </si>
  <si>
    <t>8fe73209-04fd-4e98-89f4-92cff664bd9e</t>
  </si>
  <si>
    <t>8b75d604-9be2-41f0-882c-fbeb07b054a0</t>
  </si>
  <si>
    <t>26227f05-19e8-49af-a3d6-db3d894df695</t>
  </si>
  <si>
    <t>a14d7064-724c-4119-80e6-b051fd56de69</t>
  </si>
  <si>
    <t>c39bf183-001d-4bd2-a524-6db7e54fc0c8</t>
  </si>
  <si>
    <t>cd94654b-3d00-4595-bfb9-9cfced3e31cb</t>
  </si>
  <si>
    <t>543a4fa6-dfe2-4a89-8814-24af04473321</t>
  </si>
  <si>
    <t>BoltSize</t>
  </si>
  <si>
    <t>NumberInSet</t>
  </si>
  <si>
    <t>IsLugSet</t>
  </si>
  <si>
    <t>StudTypeDescription</t>
  </si>
  <si>
    <t>StudDescription</t>
  </si>
  <si>
    <t>BoltCompatibleStd</t>
  </si>
  <si>
    <t>2fa45d94-566f-481e-9b0c-031893bcf95b</t>
  </si>
  <si>
    <t>STUD_RF_CL150</t>
  </si>
  <si>
    <t xml:space="preserve">Studbolt ASTM A193-B7-Nuts ASTM A194-2H </t>
  </si>
  <si>
    <t>36894312-7f7b-4dce-9b48-e62ceba5c6f9</t>
  </si>
  <si>
    <t>BoltSet</t>
  </si>
  <si>
    <t>ad9eff73-6400-4bc3-a9f0-1c9c08080f61</t>
  </si>
  <si>
    <t>37615cec-e432-45ee-94f4-c15dbc4b9237</t>
  </si>
  <si>
    <t>4e597f0a-1b80-4126-83b6-4c37e027cdac</t>
  </si>
  <si>
    <t>1b49458a-bab6-4488-b321-ee35be3dc0e1</t>
  </si>
  <si>
    <t>6b3ed705-5ddd-4c41-8848-8e0c60f0ebb5</t>
  </si>
  <si>
    <t>be879cb0-b70d-4938-8deb-5f72a181dcab</t>
  </si>
  <si>
    <t>2a0cc95b-ed63-453a-8a52-6194599f6e32</t>
  </si>
  <si>
    <t>39d93329-93b2-4ce4-beb2-f9e727cfca9e</t>
  </si>
  <si>
    <t>d3409bfc-e356-4d89-a899-fb1cc75c0880</t>
  </si>
  <si>
    <t>9265de38-8e20-44b9-87f1-abe93bf12c85</t>
  </si>
  <si>
    <t>b62ee921-e8f2-432e-9583-d2036de22ab4</t>
  </si>
  <si>
    <t>b4e8641e-38f2-4e30-9bb9-217303b0425d</t>
  </si>
  <si>
    <t>7b4e9f40-a399-4376-9684-1ac3db18c60c</t>
  </si>
  <si>
    <t>e999a844-488d-4256-b68e-922598cc0584</t>
  </si>
  <si>
    <t>ff8ce477-99e5-46f4-8e97-3423de49cbed</t>
  </si>
  <si>
    <t>b3c55ce0-e223-4bcc-a37f-333936ee6546</t>
  </si>
  <si>
    <t>14d1994f-2b15-45b5-951b-98a8c6e240d1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</si>
</sst>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0" fillId="2" borderId="0" xfId="0" applyFill="1" applyProtection="1">
      <protection locked="0"/>
    </xf>
    <xf numFmtId="0" fontId="1" fillId="2" borderId="0" xfId="0" applyFont="1" applyFill="1"/>
    <xf numFmtId="0" fontId="2" fillId="0" borderId="0" xfId="0" applyFont="1" applyAlignment="1" applyProtection="1">
      <alignment horizontal="center" wrapText="1"/>
      <protection locked="0"/>
    </xf>
    <xf numFmtId="2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219200" cy="1219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219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DimImages/CPP_640.png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"/>
  <sheetViews>
    <sheetView topLeftCell="A2" workbookViewId="0">
      <selection activeCell="A19" activeCellId="2" sqref="A15:XFD15 A17:XFD17 A19:XFD19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12.140625" style="1" bestFit="1" customWidth="1"/>
    <col min="4" max="4" width="2.28515625" style="1" bestFit="1" customWidth="1"/>
    <col min="5" max="5" width="1.85546875" style="1" bestFit="1" customWidth="1"/>
    <col min="6" max="6" width="3.42578125" style="1" bestFit="1" customWidth="1"/>
    <col min="7" max="7" width="32.42578125" bestFit="1" customWidth="1"/>
    <col min="8" max="8" width="38" bestFit="1" customWidth="1"/>
    <col min="9" max="9" width="15.85546875" style="1" bestFit="1" customWidth="1"/>
    <col min="10" max="10" width="23" style="1" bestFit="1" customWidth="1"/>
    <col min="11" max="11" width="18.42578125" style="1" bestFit="1" customWidth="1"/>
    <col min="12" max="12" width="22" style="1" bestFit="1" customWidth="1"/>
    <col min="13" max="13" width="14.42578125" style="1" bestFit="1" customWidth="1"/>
    <col min="14" max="14" width="15.5703125" style="1" bestFit="1" customWidth="1"/>
    <col min="15" max="15" width="15.85546875" style="1" bestFit="1" customWidth="1"/>
    <col min="16" max="16" width="12.28515625" style="1" bestFit="1" customWidth="1"/>
    <col min="17" max="17" width="21.5703125" style="1" bestFit="1" customWidth="1"/>
    <col min="18" max="18" width="19.140625" style="1" bestFit="1" customWidth="1"/>
    <col min="19" max="19" width="15" style="1" bestFit="1" customWidth="1"/>
    <col min="20" max="20" width="19.7109375" style="1" bestFit="1" customWidth="1"/>
    <col min="21" max="21" width="24.140625" style="1" bestFit="1" customWidth="1"/>
    <col min="22" max="22" width="16.7109375" style="1" bestFit="1" customWidth="1"/>
    <col min="23" max="23" width="16" style="1" bestFit="1" customWidth="1"/>
    <col min="24" max="24" width="19.42578125" style="1" bestFit="1" customWidth="1"/>
    <col min="25" max="25" width="9.85546875" style="1" bestFit="1" customWidth="1"/>
    <col min="26" max="26" width="53.7109375" style="1" bestFit="1" customWidth="1"/>
    <col min="27" max="27" width="60.140625" style="1" bestFit="1" customWidth="1"/>
    <col min="28" max="28" width="8.5703125" style="1" bestFit="1" customWidth="1"/>
    <col min="29" max="29" width="13.28515625" style="1" bestFit="1" customWidth="1"/>
    <col min="30" max="30" width="7.5703125" style="1" bestFit="1" customWidth="1"/>
    <col min="31" max="31" width="11.42578125" style="1" bestFit="1" customWidth="1"/>
    <col min="32" max="33" width="5.28515625" style="1" bestFit="1" customWidth="1"/>
    <col min="34" max="34" width="36.28515625" bestFit="1" customWidth="1"/>
    <col min="35" max="35" width="19" bestFit="1" customWidth="1"/>
    <col min="36" max="36" width="10" bestFit="1" customWidth="1"/>
    <col min="37" max="37" width="13.28515625" style="1" bestFit="1" customWidth="1"/>
    <col min="38" max="38" width="9.7109375" style="1" bestFit="1" customWidth="1"/>
    <col min="39" max="39" width="20.42578125" style="1" bestFit="1" customWidth="1"/>
    <col min="40" max="40" width="20.42578125" bestFit="1" customWidth="1"/>
    <col min="41" max="41" width="22.42578125" style="1" bestFit="1" customWidth="1"/>
    <col min="42" max="42" width="12.42578125" bestFit="1" customWidth="1"/>
    <col min="43" max="43" width="26.85546875" bestFit="1" customWidth="1"/>
    <col min="44" max="44" width="11.42578125" bestFit="1" customWidth="1"/>
    <col min="45" max="45" width="6.42578125" style="1" bestFit="1" customWidth="1"/>
    <col min="46" max="46" width="7" style="1" bestFit="1" customWidth="1"/>
    <col min="47" max="47" width="15.42578125" style="1" bestFit="1" customWidth="1"/>
    <col min="48" max="48" width="13.7109375" style="1" bestFit="1" customWidth="1"/>
    <col min="49" max="49" width="13.140625" style="1" bestFit="1" customWidth="1"/>
    <col min="50" max="50" width="17" style="1" bestFit="1" customWidth="1"/>
    <col min="51" max="51" width="14.28515625" bestFit="1" customWidth="1"/>
    <col min="52" max="52" width="22.7109375" bestFit="1" customWidth="1"/>
    <col min="53" max="53" width="9.140625" customWidth="1"/>
  </cols>
  <sheetData>
    <row r="1" spans="1:52" hidden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t="s">
        <v>39</v>
      </c>
      <c r="AO1" s="1" t="s">
        <v>40</v>
      </c>
      <c r="AP1" t="s">
        <v>41</v>
      </c>
      <c r="AQ1" t="s">
        <v>42</v>
      </c>
      <c r="AR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t="s">
        <v>50</v>
      </c>
      <c r="AZ1" t="s">
        <v>51</v>
      </c>
    </row>
    <row r="2" spans="1:52" s="2" customFormat="1" x14ac:dyDescent="0.25">
      <c r="A2" s="2" t="s">
        <v>52</v>
      </c>
      <c r="B2" s="2" t="s">
        <v>1</v>
      </c>
      <c r="C2" s="2" t="s">
        <v>53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4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</row>
    <row r="3" spans="1:52" x14ac:dyDescent="0.25">
      <c r="B3" s="1" t="s">
        <v>54</v>
      </c>
      <c r="C3" s="1" t="s">
        <v>55</v>
      </c>
      <c r="G3" t="s">
        <v>56</v>
      </c>
      <c r="H3" t="s">
        <v>57</v>
      </c>
      <c r="I3" s="3" t="s">
        <v>58</v>
      </c>
      <c r="J3" s="1" t="s">
        <v>54</v>
      </c>
      <c r="K3" s="1" t="s">
        <v>59</v>
      </c>
      <c r="L3" s="1" t="s">
        <v>60</v>
      </c>
      <c r="M3" s="1" t="s">
        <v>61</v>
      </c>
      <c r="S3" s="1" t="s">
        <v>62</v>
      </c>
      <c r="T3" s="1" t="s">
        <v>63</v>
      </c>
      <c r="U3" s="1" t="s">
        <v>63</v>
      </c>
      <c r="V3" s="1" t="s">
        <v>59</v>
      </c>
      <c r="W3" s="1" t="s">
        <v>64</v>
      </c>
      <c r="Z3" s="1" t="s">
        <v>65</v>
      </c>
      <c r="AA3" s="1" t="str">
        <f>REPLACE(Z3, 10, 0, " DN" &amp; B3)</f>
        <v>Pipe Smls DN15 Plain Ends CS ASTM A106-B Dims to ASME B36.10</v>
      </c>
      <c r="AB3" s="1" t="s">
        <v>66</v>
      </c>
      <c r="AH3" t="s">
        <v>67</v>
      </c>
      <c r="AN3" t="s">
        <v>68</v>
      </c>
      <c r="AP3" t="s">
        <v>69</v>
      </c>
      <c r="AY3" t="s">
        <v>70</v>
      </c>
    </row>
    <row r="4" spans="1:52" x14ac:dyDescent="0.25">
      <c r="B4" s="1" t="s">
        <v>71</v>
      </c>
      <c r="C4" s="1" t="s">
        <v>55</v>
      </c>
      <c r="G4" t="s">
        <v>56</v>
      </c>
      <c r="H4" t="s">
        <v>72</v>
      </c>
      <c r="I4" s="3" t="s">
        <v>58</v>
      </c>
      <c r="J4" s="1" t="s">
        <v>71</v>
      </c>
      <c r="K4" s="1" t="s">
        <v>59</v>
      </c>
      <c r="L4" s="1" t="s">
        <v>73</v>
      </c>
      <c r="M4" s="1" t="s">
        <v>61</v>
      </c>
      <c r="S4" s="1" t="s">
        <v>62</v>
      </c>
      <c r="T4" s="1" t="s">
        <v>63</v>
      </c>
      <c r="U4" s="1" t="s">
        <v>63</v>
      </c>
      <c r="V4" s="1" t="s">
        <v>59</v>
      </c>
      <c r="W4" s="1" t="s">
        <v>64</v>
      </c>
      <c r="Z4" s="1" t="s">
        <v>65</v>
      </c>
      <c r="AA4" s="1" t="str">
        <f t="shared" ref="AA4:AA20" si="0">REPLACE(Z4, 10, 0, " DN" &amp; B4)</f>
        <v>Pipe Smls DN20 Plain Ends CS ASTM A106-B Dims to ASME B36.10</v>
      </c>
      <c r="AB4" s="1" t="s">
        <v>66</v>
      </c>
      <c r="AH4" t="s">
        <v>67</v>
      </c>
      <c r="AN4" t="s">
        <v>68</v>
      </c>
      <c r="AP4" t="s">
        <v>69</v>
      </c>
      <c r="AY4" t="s">
        <v>70</v>
      </c>
    </row>
    <row r="5" spans="1:52" x14ac:dyDescent="0.25">
      <c r="B5" s="1" t="s">
        <v>74</v>
      </c>
      <c r="C5" s="1" t="s">
        <v>55</v>
      </c>
      <c r="G5" t="s">
        <v>56</v>
      </c>
      <c r="H5" t="s">
        <v>75</v>
      </c>
      <c r="I5" s="3" t="s">
        <v>58</v>
      </c>
      <c r="J5" s="1" t="s">
        <v>74</v>
      </c>
      <c r="K5" s="1" t="s">
        <v>59</v>
      </c>
      <c r="L5" s="1" t="s">
        <v>76</v>
      </c>
      <c r="M5" s="1" t="s">
        <v>61</v>
      </c>
      <c r="S5" s="1" t="s">
        <v>62</v>
      </c>
      <c r="T5" s="1" t="s">
        <v>63</v>
      </c>
      <c r="U5" s="1" t="s">
        <v>63</v>
      </c>
      <c r="V5" s="1" t="s">
        <v>59</v>
      </c>
      <c r="W5" s="1" t="s">
        <v>64</v>
      </c>
      <c r="Z5" s="1" t="s">
        <v>65</v>
      </c>
      <c r="AA5" s="1" t="str">
        <f t="shared" si="0"/>
        <v>Pipe Smls DN25 Plain Ends CS ASTM A106-B Dims to ASME B36.10</v>
      </c>
      <c r="AB5" s="1" t="s">
        <v>66</v>
      </c>
      <c r="AH5" t="s">
        <v>67</v>
      </c>
      <c r="AN5" t="s">
        <v>68</v>
      </c>
      <c r="AP5" t="s">
        <v>69</v>
      </c>
      <c r="AY5" t="s">
        <v>70</v>
      </c>
    </row>
    <row r="6" spans="1:52" x14ac:dyDescent="0.25">
      <c r="B6" s="1" t="s">
        <v>77</v>
      </c>
      <c r="C6" s="1" t="s">
        <v>55</v>
      </c>
      <c r="G6" t="s">
        <v>56</v>
      </c>
      <c r="H6" t="s">
        <v>78</v>
      </c>
      <c r="I6" s="3" t="s">
        <v>58</v>
      </c>
      <c r="J6" s="1" t="s">
        <v>77</v>
      </c>
      <c r="K6" s="1" t="s">
        <v>59</v>
      </c>
      <c r="L6" s="1" t="s">
        <v>79</v>
      </c>
      <c r="M6" s="1" t="s">
        <v>61</v>
      </c>
      <c r="S6" s="1" t="s">
        <v>62</v>
      </c>
      <c r="T6" s="1" t="s">
        <v>63</v>
      </c>
      <c r="U6" s="1" t="s">
        <v>63</v>
      </c>
      <c r="V6" s="1" t="s">
        <v>59</v>
      </c>
      <c r="W6" s="1" t="s">
        <v>64</v>
      </c>
      <c r="Z6" s="1" t="s">
        <v>65</v>
      </c>
      <c r="AA6" s="1" t="str">
        <f t="shared" si="0"/>
        <v>Pipe Smls DN32 Plain Ends CS ASTM A106-B Dims to ASME B36.10</v>
      </c>
      <c r="AB6" s="1" t="s">
        <v>66</v>
      </c>
      <c r="AH6" t="s">
        <v>67</v>
      </c>
      <c r="AN6" t="s">
        <v>68</v>
      </c>
      <c r="AP6" t="s">
        <v>69</v>
      </c>
      <c r="AY6" t="s">
        <v>70</v>
      </c>
    </row>
    <row r="7" spans="1:52" ht="30" x14ac:dyDescent="0.25">
      <c r="A7" s="5" t="s">
        <v>80</v>
      </c>
      <c r="B7" s="1" t="s">
        <v>62</v>
      </c>
      <c r="C7" s="1" t="s">
        <v>55</v>
      </c>
      <c r="G7" t="s">
        <v>56</v>
      </c>
      <c r="H7" t="s">
        <v>81</v>
      </c>
      <c r="I7" s="3" t="s">
        <v>58</v>
      </c>
      <c r="J7" s="1" t="s">
        <v>62</v>
      </c>
      <c r="K7" s="1" t="s">
        <v>59</v>
      </c>
      <c r="L7" s="1" t="s">
        <v>82</v>
      </c>
      <c r="M7" s="1" t="s">
        <v>61</v>
      </c>
      <c r="S7" s="1" t="s">
        <v>62</v>
      </c>
      <c r="T7" s="1" t="s">
        <v>63</v>
      </c>
      <c r="U7" s="1" t="s">
        <v>63</v>
      </c>
      <c r="V7" s="1" t="s">
        <v>59</v>
      </c>
      <c r="W7" s="1" t="s">
        <v>64</v>
      </c>
      <c r="Z7" s="1" t="s">
        <v>65</v>
      </c>
      <c r="AA7" s="1" t="str">
        <f t="shared" si="0"/>
        <v>Pipe Smls DN40 Plain Ends CS ASTM A106-B Dims to ASME B36.10</v>
      </c>
      <c r="AB7" s="1" t="s">
        <v>66</v>
      </c>
      <c r="AH7" t="s">
        <v>67</v>
      </c>
      <c r="AN7" t="s">
        <v>68</v>
      </c>
      <c r="AP7" t="s">
        <v>69</v>
      </c>
      <c r="AY7" t="s">
        <v>70</v>
      </c>
    </row>
    <row r="8" spans="1:52" x14ac:dyDescent="0.25">
      <c r="B8" s="1" t="s">
        <v>83</v>
      </c>
      <c r="C8" s="1" t="s">
        <v>55</v>
      </c>
      <c r="G8" t="s">
        <v>56</v>
      </c>
      <c r="H8" t="s">
        <v>84</v>
      </c>
      <c r="I8" s="3" t="s">
        <v>58</v>
      </c>
      <c r="J8" s="1" t="s">
        <v>83</v>
      </c>
      <c r="K8" s="1" t="s">
        <v>59</v>
      </c>
      <c r="L8" s="1" t="s">
        <v>85</v>
      </c>
      <c r="M8" s="1" t="s">
        <v>61</v>
      </c>
      <c r="S8" s="1" t="s">
        <v>62</v>
      </c>
      <c r="T8" s="1" t="s">
        <v>63</v>
      </c>
      <c r="U8" s="1" t="s">
        <v>63</v>
      </c>
      <c r="V8" s="1" t="s">
        <v>59</v>
      </c>
      <c r="W8" s="1" t="s">
        <v>64</v>
      </c>
      <c r="Z8" s="1" t="s">
        <v>65</v>
      </c>
      <c r="AA8" s="1" t="str">
        <f t="shared" si="0"/>
        <v>Pipe Smls DN50 Plain Ends CS ASTM A106-B Dims to ASME B36.10</v>
      </c>
      <c r="AB8" s="1" t="s">
        <v>66</v>
      </c>
      <c r="AH8" t="s">
        <v>67</v>
      </c>
      <c r="AN8" t="s">
        <v>68</v>
      </c>
      <c r="AP8" t="s">
        <v>69</v>
      </c>
      <c r="AY8" t="s">
        <v>70</v>
      </c>
    </row>
    <row r="9" spans="1:52" x14ac:dyDescent="0.25">
      <c r="B9" s="1" t="s">
        <v>86</v>
      </c>
      <c r="C9" s="1" t="s">
        <v>55</v>
      </c>
      <c r="G9" t="s">
        <v>56</v>
      </c>
      <c r="H9" t="s">
        <v>87</v>
      </c>
      <c r="I9" s="3" t="s">
        <v>58</v>
      </c>
      <c r="J9" s="1" t="s">
        <v>86</v>
      </c>
      <c r="K9" s="1" t="s">
        <v>59</v>
      </c>
      <c r="L9" s="1" t="s">
        <v>88</v>
      </c>
      <c r="M9" s="1" t="s">
        <v>61</v>
      </c>
      <c r="S9" s="1" t="s">
        <v>62</v>
      </c>
      <c r="T9" s="1" t="s">
        <v>63</v>
      </c>
      <c r="U9" s="1" t="s">
        <v>63</v>
      </c>
      <c r="V9" s="1" t="s">
        <v>59</v>
      </c>
      <c r="W9" s="1" t="s">
        <v>64</v>
      </c>
      <c r="Z9" s="1" t="s">
        <v>65</v>
      </c>
      <c r="AA9" s="1" t="str">
        <f t="shared" si="0"/>
        <v>Pipe Smls DN65 Plain Ends CS ASTM A106-B Dims to ASME B36.10</v>
      </c>
      <c r="AB9" s="1" t="s">
        <v>66</v>
      </c>
      <c r="AH9" t="s">
        <v>67</v>
      </c>
      <c r="AN9" t="s">
        <v>68</v>
      </c>
      <c r="AP9" t="s">
        <v>69</v>
      </c>
      <c r="AY9" t="s">
        <v>70</v>
      </c>
    </row>
    <row r="10" spans="1:52" x14ac:dyDescent="0.25">
      <c r="B10" s="1" t="s">
        <v>89</v>
      </c>
      <c r="C10" s="1" t="s">
        <v>55</v>
      </c>
      <c r="G10" t="s">
        <v>56</v>
      </c>
      <c r="H10" t="s">
        <v>90</v>
      </c>
      <c r="I10" s="3" t="s">
        <v>58</v>
      </c>
      <c r="J10" s="1" t="s">
        <v>89</v>
      </c>
      <c r="K10" s="1" t="s">
        <v>59</v>
      </c>
      <c r="L10" s="1" t="s">
        <v>91</v>
      </c>
      <c r="M10" s="1" t="s">
        <v>61</v>
      </c>
      <c r="S10" s="1" t="s">
        <v>62</v>
      </c>
      <c r="T10" s="1" t="s">
        <v>63</v>
      </c>
      <c r="U10" s="1" t="s">
        <v>63</v>
      </c>
      <c r="V10" s="1" t="s">
        <v>59</v>
      </c>
      <c r="W10" s="1" t="s">
        <v>64</v>
      </c>
      <c r="Z10" s="1" t="s">
        <v>65</v>
      </c>
      <c r="AA10" s="1" t="str">
        <f t="shared" si="0"/>
        <v>Pipe Smls DN80 Plain Ends CS ASTM A106-B Dims to ASME B36.10</v>
      </c>
      <c r="AB10" s="1" t="s">
        <v>66</v>
      </c>
      <c r="AH10" t="s">
        <v>67</v>
      </c>
      <c r="AN10" t="s">
        <v>68</v>
      </c>
      <c r="AP10" t="s">
        <v>69</v>
      </c>
      <c r="AY10" t="s">
        <v>70</v>
      </c>
    </row>
    <row r="11" spans="1:52" x14ac:dyDescent="0.25">
      <c r="B11" s="1" t="s">
        <v>92</v>
      </c>
      <c r="C11" s="1" t="s">
        <v>55</v>
      </c>
      <c r="G11" t="s">
        <v>56</v>
      </c>
      <c r="H11" t="s">
        <v>93</v>
      </c>
      <c r="I11" s="3" t="s">
        <v>58</v>
      </c>
      <c r="J11" s="1" t="s">
        <v>92</v>
      </c>
      <c r="K11" s="1" t="s">
        <v>59</v>
      </c>
      <c r="L11" s="1" t="s">
        <v>92</v>
      </c>
      <c r="M11" s="1" t="s">
        <v>61</v>
      </c>
      <c r="S11" s="1" t="s">
        <v>62</v>
      </c>
      <c r="T11" s="1" t="s">
        <v>63</v>
      </c>
      <c r="U11" s="1" t="s">
        <v>63</v>
      </c>
      <c r="V11" s="1" t="s">
        <v>59</v>
      </c>
      <c r="W11" s="1" t="s">
        <v>64</v>
      </c>
      <c r="Z11" s="1" t="s">
        <v>65</v>
      </c>
      <c r="AA11" s="1" t="str">
        <f t="shared" si="0"/>
        <v>Pipe Smls DN90 Plain Ends CS ASTM A106-B Dims to ASME B36.10</v>
      </c>
      <c r="AB11" s="1" t="s">
        <v>66</v>
      </c>
      <c r="AH11" t="s">
        <v>67</v>
      </c>
      <c r="AN11" t="s">
        <v>68</v>
      </c>
      <c r="AP11" t="s">
        <v>69</v>
      </c>
      <c r="AY11" t="s">
        <v>70</v>
      </c>
    </row>
    <row r="12" spans="1:52" x14ac:dyDescent="0.25">
      <c r="B12" s="1" t="s">
        <v>94</v>
      </c>
      <c r="C12" s="1" t="s">
        <v>55</v>
      </c>
      <c r="G12" t="s">
        <v>56</v>
      </c>
      <c r="H12" t="s">
        <v>95</v>
      </c>
      <c r="I12" s="3" t="s">
        <v>58</v>
      </c>
      <c r="J12" s="1" t="s">
        <v>94</v>
      </c>
      <c r="K12" s="1" t="s">
        <v>59</v>
      </c>
      <c r="L12" s="1" t="s">
        <v>96</v>
      </c>
      <c r="M12" s="1" t="s">
        <v>61</v>
      </c>
      <c r="S12" s="1" t="s">
        <v>62</v>
      </c>
      <c r="T12" s="1" t="s">
        <v>63</v>
      </c>
      <c r="U12" s="1" t="s">
        <v>63</v>
      </c>
      <c r="V12" s="1" t="s">
        <v>59</v>
      </c>
      <c r="W12" s="1" t="s">
        <v>64</v>
      </c>
      <c r="Z12" s="1" t="s">
        <v>65</v>
      </c>
      <c r="AA12" s="1" t="str">
        <f t="shared" si="0"/>
        <v>Pipe Smls DN100 Plain Ends CS ASTM A106-B Dims to ASME B36.10</v>
      </c>
      <c r="AB12" s="1" t="s">
        <v>66</v>
      </c>
      <c r="AH12" t="s">
        <v>67</v>
      </c>
      <c r="AN12" t="s">
        <v>68</v>
      </c>
      <c r="AP12" t="s">
        <v>69</v>
      </c>
      <c r="AY12" t="s">
        <v>70</v>
      </c>
    </row>
    <row r="13" spans="1:52" x14ac:dyDescent="0.25">
      <c r="B13" s="1" t="s">
        <v>97</v>
      </c>
      <c r="C13" s="1" t="s">
        <v>55</v>
      </c>
      <c r="G13" t="s">
        <v>56</v>
      </c>
      <c r="H13" t="s">
        <v>98</v>
      </c>
      <c r="I13" s="3" t="s">
        <v>58</v>
      </c>
      <c r="J13" s="1" t="s">
        <v>97</v>
      </c>
      <c r="K13" s="1" t="s">
        <v>59</v>
      </c>
      <c r="L13" s="1" t="s">
        <v>97</v>
      </c>
      <c r="M13" s="1" t="s">
        <v>61</v>
      </c>
      <c r="S13" s="1" t="s">
        <v>62</v>
      </c>
      <c r="T13" s="1" t="s">
        <v>63</v>
      </c>
      <c r="U13" s="1" t="s">
        <v>63</v>
      </c>
      <c r="V13" s="1" t="s">
        <v>59</v>
      </c>
      <c r="W13" s="1" t="s">
        <v>64</v>
      </c>
      <c r="Z13" s="1" t="s">
        <v>65</v>
      </c>
      <c r="AA13" s="1" t="str">
        <f t="shared" si="0"/>
        <v>Pipe Smls DN125 Plain Ends CS ASTM A106-B Dims to ASME B36.10</v>
      </c>
      <c r="AB13" s="1" t="s">
        <v>66</v>
      </c>
      <c r="AH13" t="s">
        <v>67</v>
      </c>
      <c r="AN13" t="s">
        <v>68</v>
      </c>
      <c r="AP13" t="s">
        <v>69</v>
      </c>
      <c r="AY13" t="s">
        <v>70</v>
      </c>
    </row>
    <row r="14" spans="1:52" x14ac:dyDescent="0.25">
      <c r="B14" s="1" t="s">
        <v>99</v>
      </c>
      <c r="C14" s="1" t="s">
        <v>55</v>
      </c>
      <c r="G14" t="s">
        <v>56</v>
      </c>
      <c r="H14" t="s">
        <v>100</v>
      </c>
      <c r="I14" s="3" t="s">
        <v>58</v>
      </c>
      <c r="J14" s="1" t="s">
        <v>99</v>
      </c>
      <c r="K14" s="1" t="s">
        <v>59</v>
      </c>
      <c r="L14" s="1" t="s">
        <v>101</v>
      </c>
      <c r="M14" s="1" t="s">
        <v>61</v>
      </c>
      <c r="S14" s="1" t="s">
        <v>62</v>
      </c>
      <c r="T14" s="1" t="s">
        <v>63</v>
      </c>
      <c r="U14" s="1" t="s">
        <v>63</v>
      </c>
      <c r="V14" s="1" t="s">
        <v>59</v>
      </c>
      <c r="W14" s="1" t="s">
        <v>64</v>
      </c>
      <c r="Z14" s="1" t="s">
        <v>65</v>
      </c>
      <c r="AA14" s="1" t="str">
        <f t="shared" si="0"/>
        <v>Pipe Smls DN150 Plain Ends CS ASTM A106-B Dims to ASME B36.10</v>
      </c>
      <c r="AB14" s="1" t="s">
        <v>66</v>
      </c>
      <c r="AH14" t="s">
        <v>67</v>
      </c>
      <c r="AN14" t="s">
        <v>68</v>
      </c>
      <c r="AP14" t="s">
        <v>69</v>
      </c>
      <c r="AY14" t="s">
        <v>70</v>
      </c>
    </row>
    <row r="15" spans="1:52" x14ac:dyDescent="0.25">
      <c r="B15" s="1" t="s">
        <v>102</v>
      </c>
      <c r="C15" s="1" t="s">
        <v>55</v>
      </c>
      <c r="G15" t="s">
        <v>56</v>
      </c>
      <c r="H15" t="s">
        <v>103</v>
      </c>
      <c r="I15" s="3" t="s">
        <v>58</v>
      </c>
      <c r="J15" s="1" t="s">
        <v>102</v>
      </c>
      <c r="K15" s="1" t="s">
        <v>59</v>
      </c>
      <c r="L15" s="1" t="s">
        <v>104</v>
      </c>
      <c r="M15" s="1" t="s">
        <v>61</v>
      </c>
      <c r="S15" s="1" t="s">
        <v>62</v>
      </c>
      <c r="T15" s="1" t="s">
        <v>63</v>
      </c>
      <c r="U15" s="1" t="s">
        <v>63</v>
      </c>
      <c r="V15" s="1" t="s">
        <v>59</v>
      </c>
      <c r="W15" s="1" t="s">
        <v>64</v>
      </c>
      <c r="Z15" s="1" t="s">
        <v>65</v>
      </c>
      <c r="AA15" s="1" t="str">
        <f t="shared" si="0"/>
        <v>Pipe Smls DN200 Plain Ends CS ASTM A106-B Dims to ASME B36.10</v>
      </c>
      <c r="AB15" s="1" t="s">
        <v>66</v>
      </c>
      <c r="AH15" t="s">
        <v>67</v>
      </c>
      <c r="AN15" t="s">
        <v>68</v>
      </c>
      <c r="AP15" t="s">
        <v>69</v>
      </c>
      <c r="AY15" t="s">
        <v>70</v>
      </c>
    </row>
    <row r="16" spans="1:52" x14ac:dyDescent="0.25">
      <c r="B16" s="1" t="s">
        <v>105</v>
      </c>
      <c r="C16" s="1" t="s">
        <v>55</v>
      </c>
      <c r="G16" t="s">
        <v>56</v>
      </c>
      <c r="H16" t="s">
        <v>106</v>
      </c>
      <c r="I16" s="3" t="s">
        <v>58</v>
      </c>
      <c r="J16" s="1" t="s">
        <v>105</v>
      </c>
      <c r="K16" s="1" t="s">
        <v>59</v>
      </c>
      <c r="L16" s="1" t="s">
        <v>107</v>
      </c>
      <c r="M16" s="1" t="s">
        <v>61</v>
      </c>
      <c r="S16" s="1" t="s">
        <v>62</v>
      </c>
      <c r="T16" s="1" t="s">
        <v>63</v>
      </c>
      <c r="U16" s="1" t="s">
        <v>63</v>
      </c>
      <c r="V16" s="1" t="s">
        <v>59</v>
      </c>
      <c r="W16" s="1" t="s">
        <v>64</v>
      </c>
      <c r="Z16" s="1" t="s">
        <v>65</v>
      </c>
      <c r="AA16" s="1" t="str">
        <f t="shared" si="0"/>
        <v>Pipe Smls DN250 Plain Ends CS ASTM A106-B Dims to ASME B36.10</v>
      </c>
      <c r="AB16" s="1" t="s">
        <v>66</v>
      </c>
      <c r="AH16" t="s">
        <v>67</v>
      </c>
      <c r="AN16" t="s">
        <v>68</v>
      </c>
      <c r="AP16" t="s">
        <v>69</v>
      </c>
      <c r="AY16" t="s">
        <v>70</v>
      </c>
    </row>
    <row r="17" spans="2:51" x14ac:dyDescent="0.25">
      <c r="B17" s="1" t="s">
        <v>108</v>
      </c>
      <c r="C17" s="1" t="s">
        <v>55</v>
      </c>
      <c r="G17" t="s">
        <v>56</v>
      </c>
      <c r="H17" t="s">
        <v>109</v>
      </c>
      <c r="I17" s="3" t="s">
        <v>58</v>
      </c>
      <c r="J17" s="1" t="s">
        <v>108</v>
      </c>
      <c r="K17" s="1" t="s">
        <v>59</v>
      </c>
      <c r="L17" s="1" t="s">
        <v>110</v>
      </c>
      <c r="M17" s="1" t="s">
        <v>61</v>
      </c>
      <c r="S17" s="1" t="s">
        <v>62</v>
      </c>
      <c r="T17" s="1" t="s">
        <v>63</v>
      </c>
      <c r="U17" s="1" t="s">
        <v>63</v>
      </c>
      <c r="V17" s="1" t="s">
        <v>59</v>
      </c>
      <c r="W17" s="1" t="s">
        <v>64</v>
      </c>
      <c r="Z17" s="1" t="s">
        <v>65</v>
      </c>
      <c r="AA17" s="1" t="str">
        <f t="shared" si="0"/>
        <v>Pipe Smls DN300 Plain Ends CS ASTM A106-B Dims to ASME B36.10</v>
      </c>
      <c r="AB17" s="1" t="s">
        <v>66</v>
      </c>
      <c r="AH17" t="s">
        <v>67</v>
      </c>
      <c r="AN17" t="s">
        <v>68</v>
      </c>
      <c r="AP17" t="s">
        <v>69</v>
      </c>
      <c r="AY17" t="s">
        <v>70</v>
      </c>
    </row>
    <row r="18" spans="2:51" x14ac:dyDescent="0.25">
      <c r="B18" s="1" t="s">
        <v>111</v>
      </c>
      <c r="C18" s="1" t="s">
        <v>55</v>
      </c>
      <c r="G18" t="s">
        <v>56</v>
      </c>
      <c r="H18" t="s">
        <v>112</v>
      </c>
      <c r="I18" s="3" t="s">
        <v>58</v>
      </c>
      <c r="J18" s="1" t="s">
        <v>111</v>
      </c>
      <c r="K18" s="1" t="s">
        <v>59</v>
      </c>
      <c r="L18" s="1" t="s">
        <v>113</v>
      </c>
      <c r="M18" s="1" t="s">
        <v>61</v>
      </c>
      <c r="S18" s="1" t="s">
        <v>62</v>
      </c>
      <c r="T18" s="1" t="s">
        <v>63</v>
      </c>
      <c r="U18" s="1" t="s">
        <v>63</v>
      </c>
      <c r="V18" s="1" t="s">
        <v>59</v>
      </c>
      <c r="W18" s="1" t="s">
        <v>64</v>
      </c>
      <c r="Z18" s="1" t="s">
        <v>65</v>
      </c>
      <c r="AA18" s="1" t="str">
        <f t="shared" si="0"/>
        <v>Pipe Smls DN350 Plain Ends CS ASTM A106-B Dims to ASME B36.10</v>
      </c>
      <c r="AB18" s="1" t="s">
        <v>66</v>
      </c>
      <c r="AH18" t="s">
        <v>67</v>
      </c>
      <c r="AN18" t="s">
        <v>68</v>
      </c>
      <c r="AP18" t="s">
        <v>69</v>
      </c>
      <c r="AY18" t="s">
        <v>70</v>
      </c>
    </row>
    <row r="19" spans="2:51" x14ac:dyDescent="0.25">
      <c r="B19" s="1" t="s">
        <v>114</v>
      </c>
      <c r="C19" s="1" t="s">
        <v>55</v>
      </c>
      <c r="G19" t="s">
        <v>56</v>
      </c>
      <c r="H19" t="s">
        <v>115</v>
      </c>
      <c r="I19" s="3" t="s">
        <v>58</v>
      </c>
      <c r="J19" s="1" t="s">
        <v>114</v>
      </c>
      <c r="K19" s="1" t="s">
        <v>59</v>
      </c>
      <c r="L19" s="1" t="s">
        <v>116</v>
      </c>
      <c r="M19" s="1" t="s">
        <v>61</v>
      </c>
      <c r="S19" s="1" t="s">
        <v>62</v>
      </c>
      <c r="T19" s="1" t="s">
        <v>63</v>
      </c>
      <c r="U19" s="1" t="s">
        <v>63</v>
      </c>
      <c r="V19" s="1" t="s">
        <v>59</v>
      </c>
      <c r="W19" s="1" t="s">
        <v>64</v>
      </c>
      <c r="Z19" s="1" t="s">
        <v>65</v>
      </c>
      <c r="AA19" s="1" t="str">
        <f t="shared" si="0"/>
        <v>Pipe Smls DN400 Plain Ends CS ASTM A106-B Dims to ASME B36.10</v>
      </c>
      <c r="AB19" s="1" t="s">
        <v>66</v>
      </c>
      <c r="AH19" t="s">
        <v>67</v>
      </c>
      <c r="AN19" t="s">
        <v>68</v>
      </c>
      <c r="AP19" t="s">
        <v>69</v>
      </c>
      <c r="AY19" t="s">
        <v>70</v>
      </c>
    </row>
    <row r="20" spans="2:51" x14ac:dyDescent="0.25">
      <c r="B20" s="1" t="s">
        <v>117</v>
      </c>
      <c r="C20" s="1" t="s">
        <v>55</v>
      </c>
      <c r="G20" t="s">
        <v>56</v>
      </c>
      <c r="H20" t="s">
        <v>118</v>
      </c>
      <c r="I20" s="3" t="s">
        <v>58</v>
      </c>
      <c r="J20" s="1" t="s">
        <v>117</v>
      </c>
      <c r="K20" s="1" t="s">
        <v>59</v>
      </c>
      <c r="L20" s="1" t="s">
        <v>119</v>
      </c>
      <c r="M20" s="1" t="s">
        <v>61</v>
      </c>
      <c r="S20" s="1" t="s">
        <v>62</v>
      </c>
      <c r="T20" s="1" t="s">
        <v>63</v>
      </c>
      <c r="U20" s="1" t="s">
        <v>63</v>
      </c>
      <c r="V20" s="1" t="s">
        <v>59</v>
      </c>
      <c r="W20" s="1" t="s">
        <v>64</v>
      </c>
      <c r="Z20" s="1" t="s">
        <v>65</v>
      </c>
      <c r="AA20" s="1" t="str">
        <f t="shared" si="0"/>
        <v>Pipe Smls DN450 Plain Ends CS ASTM A106-B Dims to ASME B36.10</v>
      </c>
      <c r="AB20" s="1" t="s">
        <v>66</v>
      </c>
      <c r="AH20" t="s">
        <v>67</v>
      </c>
      <c r="AN20" t="s">
        <v>68</v>
      </c>
      <c r="AP20" t="s">
        <v>69</v>
      </c>
      <c r="AY20" t="s">
        <v>70</v>
      </c>
    </row>
  </sheetData>
  <sheetProtection sheet="1" objects="1" formatCells="0" formatColumns="0" insertColumns="0" deleteColumns="0"/>
  <dataValidations count="3">
    <dataValidation type="list" allowBlank="1" showInputMessage="1" showErrorMessage="1" sqref="AE3:AE20" xr:uid="{00000000-0002-0000-0000-000000000000}">
      <formula1>"LB,KG"</formula1>
    </dataValidation>
    <dataValidation type="list" allowBlank="1" showInputMessage="1" showErrorMessage="1" sqref="AX3:AX20" xr:uid="{00000000-0002-0000-0000-000001000000}">
      <formula1>"LB/FT,KG/M"</formula1>
    </dataValidation>
    <dataValidation type="decimal" allowBlank="1" showInputMessage="1" showErrorMessage="1" sqref="AV3:AW20 AT3:AT20 AN3:AN20 AJ3:AJ20 AD3:AD20 T3:U20 Q3:Q20 L3:L20 J3:J20 D3:F20" xr:uid="{00000000-0002-0000-0000-000002000000}">
      <formula1>-5</formula1>
      <formula2>100000</formula2>
    </dataValidation>
  </dataValidations>
  <hyperlinks>
    <hyperlink ref="A7" r:id="rId1" tooltip="Click to view part with dimensions." xr:uid="{00000000-0004-0000-0000-000000000000}"/>
  </hyperlinks>
  <pageMargins left="0.75" right="0.75" top="0.75" bottom="0.5" header="0.5" footer="0.75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0"/>
  <sheetViews>
    <sheetView topLeftCell="A2" workbookViewId="0">
      <selection activeCell="B20" sqref="B20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1" style="1" bestFit="1" customWidth="1"/>
    <col min="4" max="4" width="109.28515625" style="1" bestFit="1" customWidth="1"/>
    <col min="5" max="5" width="3.7109375" style="1" bestFit="1" customWidth="1"/>
    <col min="6" max="6" width="32.42578125" bestFit="1" customWidth="1"/>
    <col min="7" max="7" width="37.42578125" bestFit="1" customWidth="1"/>
    <col min="8" max="8" width="15.85546875" style="1" bestFit="1" customWidth="1"/>
    <col min="9" max="9" width="23" style="1" bestFit="1" customWidth="1"/>
    <col min="10" max="10" width="18.42578125" style="1" bestFit="1" customWidth="1"/>
    <col min="11" max="11" width="22" style="1" bestFit="1" customWidth="1"/>
    <col min="12" max="12" width="14.42578125" style="1" bestFit="1" customWidth="1"/>
    <col min="13" max="13" width="15.5703125" style="1" bestFit="1" customWidth="1"/>
    <col min="14" max="14" width="15.85546875" style="1" bestFit="1" customWidth="1"/>
    <col min="15" max="15" width="12.28515625" style="1" bestFit="1" customWidth="1"/>
    <col min="16" max="16" width="21.5703125" style="1" bestFit="1" customWidth="1"/>
    <col min="17" max="17" width="19.140625" style="1" bestFit="1" customWidth="1"/>
    <col min="18" max="18" width="15" style="1" bestFit="1" customWidth="1"/>
    <col min="19" max="19" width="19.7109375" style="1" bestFit="1" customWidth="1"/>
    <col min="20" max="20" width="24.140625" style="1" bestFit="1" customWidth="1"/>
    <col min="21" max="21" width="16.7109375" style="1" bestFit="1" customWidth="1"/>
    <col min="22" max="22" width="16" style="1" bestFit="1" customWidth="1"/>
    <col min="23" max="23" width="19.42578125" style="1" bestFit="1" customWidth="1"/>
    <col min="24" max="24" width="9.85546875" style="1" bestFit="1" customWidth="1"/>
    <col min="25" max="25" width="72.5703125" style="1" bestFit="1" customWidth="1"/>
    <col min="26" max="26" width="77.85546875" style="1" bestFit="1" customWidth="1"/>
    <col min="27" max="27" width="8.5703125" style="1" bestFit="1" customWidth="1"/>
    <col min="28" max="28" width="13.28515625" style="1" bestFit="1" customWidth="1"/>
    <col min="29" max="29" width="7.5703125" style="1" bestFit="1" customWidth="1"/>
    <col min="30" max="30" width="11.42578125" style="1" bestFit="1" customWidth="1"/>
    <col min="31" max="32" width="5.28515625" style="1" bestFit="1" customWidth="1"/>
    <col min="33" max="33" width="37" bestFit="1" customWidth="1"/>
    <col min="34" max="34" width="19" bestFit="1" customWidth="1"/>
    <col min="35" max="35" width="10" bestFit="1" customWidth="1"/>
    <col min="36" max="36" width="13.28515625" style="1" bestFit="1" customWidth="1"/>
    <col min="37" max="37" width="9.7109375" style="1" bestFit="1" customWidth="1"/>
    <col min="38" max="38" width="20.42578125" style="1" bestFit="1" customWidth="1"/>
    <col min="39" max="39" width="20.42578125" bestFit="1" customWidth="1"/>
    <col min="40" max="40" width="22.42578125" style="1" bestFit="1" customWidth="1"/>
    <col min="41" max="41" width="12.42578125" bestFit="1" customWidth="1"/>
    <col min="42" max="42" width="26.85546875" bestFit="1" customWidth="1"/>
    <col min="43" max="43" width="11.42578125" bestFit="1" customWidth="1"/>
    <col min="44" max="44" width="6.42578125" style="1" bestFit="1" customWidth="1"/>
    <col min="45" max="45" width="14.28515625" bestFit="1" customWidth="1"/>
    <col min="46" max="46" width="22.7109375" bestFit="1" customWidth="1"/>
    <col min="47" max="47" width="9.140625" customWidth="1"/>
  </cols>
  <sheetData>
    <row r="1" spans="1:46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t="s">
        <v>6</v>
      </c>
      <c r="G1" t="s">
        <v>7</v>
      </c>
      <c r="H1" s="3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t="s">
        <v>33</v>
      </c>
      <c r="AH1" t="s">
        <v>34</v>
      </c>
      <c r="AI1" t="s">
        <v>35</v>
      </c>
      <c r="AJ1" s="1" t="s">
        <v>36</v>
      </c>
      <c r="AK1" s="1" t="s">
        <v>37</v>
      </c>
      <c r="AL1" s="1" t="s">
        <v>38</v>
      </c>
      <c r="AM1" t="s">
        <v>39</v>
      </c>
      <c r="AN1" s="1" t="s">
        <v>40</v>
      </c>
      <c r="AO1" t="s">
        <v>41</v>
      </c>
      <c r="AP1" t="s">
        <v>42</v>
      </c>
      <c r="AQ1" t="s">
        <v>43</v>
      </c>
      <c r="AR1" s="1" t="s">
        <v>44</v>
      </c>
      <c r="AS1" t="s">
        <v>50</v>
      </c>
      <c r="AT1" t="s">
        <v>51</v>
      </c>
    </row>
    <row r="2" spans="1:46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50</v>
      </c>
      <c r="AT2" s="2" t="s">
        <v>51</v>
      </c>
    </row>
    <row r="3" spans="1:46" x14ac:dyDescent="0.25">
      <c r="B3" s="1" t="s">
        <v>54</v>
      </c>
      <c r="C3" s="1" t="s">
        <v>123</v>
      </c>
      <c r="D3" s="1" t="s">
        <v>124</v>
      </c>
      <c r="E3" s="1" t="s">
        <v>54</v>
      </c>
      <c r="F3" t="s">
        <v>121</v>
      </c>
      <c r="G3" t="s">
        <v>125</v>
      </c>
      <c r="H3" s="3" t="s">
        <v>58</v>
      </c>
      <c r="I3" s="1" t="s">
        <v>54</v>
      </c>
      <c r="J3" s="1" t="s">
        <v>59</v>
      </c>
      <c r="K3" s="1" t="s">
        <v>60</v>
      </c>
      <c r="L3" s="1" t="s">
        <v>422</v>
      </c>
      <c r="Q3" s="1" t="s">
        <v>99</v>
      </c>
      <c r="S3" s="1" t="s">
        <v>63</v>
      </c>
      <c r="T3" s="1" t="s">
        <v>63</v>
      </c>
      <c r="U3" s="1" t="s">
        <v>59</v>
      </c>
      <c r="V3" s="1" t="s">
        <v>127</v>
      </c>
      <c r="Y3" s="1" t="s">
        <v>128</v>
      </c>
      <c r="Z3" s="1" t="str">
        <f>REPLACE(Y3, 14, 0, " DN" &amp; E3)</f>
        <v>Flange. Blind DN15 CL150 RF smooth (3.2-6.3 um) CS ASTM A105N Dims to ASME B16.5</v>
      </c>
      <c r="AA3" s="1" t="s">
        <v>66</v>
      </c>
      <c r="AG3" t="s">
        <v>129</v>
      </c>
      <c r="AM3" t="s">
        <v>130</v>
      </c>
      <c r="AO3" t="s">
        <v>131</v>
      </c>
      <c r="AS3" t="s">
        <v>132</v>
      </c>
    </row>
    <row r="4" spans="1:46" x14ac:dyDescent="0.25">
      <c r="B4" s="1" t="s">
        <v>71</v>
      </c>
      <c r="C4" s="1" t="s">
        <v>123</v>
      </c>
      <c r="D4" s="1" t="s">
        <v>124</v>
      </c>
      <c r="E4" s="1" t="s">
        <v>71</v>
      </c>
      <c r="F4" t="s">
        <v>121</v>
      </c>
      <c r="G4" t="s">
        <v>133</v>
      </c>
      <c r="H4" s="3" t="s">
        <v>58</v>
      </c>
      <c r="I4" s="1" t="s">
        <v>71</v>
      </c>
      <c r="J4" s="1" t="s">
        <v>59</v>
      </c>
      <c r="K4" s="1" t="s">
        <v>73</v>
      </c>
      <c r="L4" s="1" t="s">
        <v>422</v>
      </c>
      <c r="Q4" s="1" t="s">
        <v>99</v>
      </c>
      <c r="S4" s="1" t="s">
        <v>63</v>
      </c>
      <c r="T4" s="1" t="s">
        <v>63</v>
      </c>
      <c r="U4" s="1" t="s">
        <v>59</v>
      </c>
      <c r="V4" s="1" t="s">
        <v>127</v>
      </c>
      <c r="Y4" s="1" t="s">
        <v>128</v>
      </c>
      <c r="Z4" s="1" t="str">
        <f t="shared" ref="Z4:Z20" si="0">REPLACE(Y4, 14, 0, " DN" &amp; E4)</f>
        <v>Flange. Blind DN20 CL150 RF smooth (3.2-6.3 um) CS ASTM A105N Dims to ASME B16.5</v>
      </c>
      <c r="AA4" s="1" t="s">
        <v>66</v>
      </c>
      <c r="AG4" t="s">
        <v>129</v>
      </c>
      <c r="AM4" t="s">
        <v>130</v>
      </c>
      <c r="AO4" t="s">
        <v>131</v>
      </c>
      <c r="AS4" t="s">
        <v>132</v>
      </c>
    </row>
    <row r="5" spans="1:46" x14ac:dyDescent="0.25">
      <c r="B5" s="1" t="s">
        <v>74</v>
      </c>
      <c r="C5" s="1" t="s">
        <v>123</v>
      </c>
      <c r="D5" s="1" t="s">
        <v>124</v>
      </c>
      <c r="E5" s="1" t="s">
        <v>74</v>
      </c>
      <c r="F5" t="s">
        <v>121</v>
      </c>
      <c r="G5" t="s">
        <v>134</v>
      </c>
      <c r="H5" s="3" t="s">
        <v>58</v>
      </c>
      <c r="I5" s="1" t="s">
        <v>74</v>
      </c>
      <c r="J5" s="1" t="s">
        <v>59</v>
      </c>
      <c r="K5" s="1" t="s">
        <v>76</v>
      </c>
      <c r="L5" s="1" t="s">
        <v>422</v>
      </c>
      <c r="Q5" s="1" t="s">
        <v>99</v>
      </c>
      <c r="S5" s="1" t="s">
        <v>63</v>
      </c>
      <c r="T5" s="1" t="s">
        <v>63</v>
      </c>
      <c r="U5" s="1" t="s">
        <v>59</v>
      </c>
      <c r="V5" s="1" t="s">
        <v>127</v>
      </c>
      <c r="Y5" s="1" t="s">
        <v>128</v>
      </c>
      <c r="Z5" s="1" t="str">
        <f t="shared" si="0"/>
        <v>Flange. Blind DN25 CL150 RF smooth (3.2-6.3 um) CS ASTM A105N Dims to ASME B16.5</v>
      </c>
      <c r="AA5" s="1" t="s">
        <v>66</v>
      </c>
      <c r="AG5" t="s">
        <v>129</v>
      </c>
      <c r="AM5" t="s">
        <v>130</v>
      </c>
      <c r="AO5" t="s">
        <v>131</v>
      </c>
      <c r="AS5" t="s">
        <v>132</v>
      </c>
    </row>
    <row r="6" spans="1:46" x14ac:dyDescent="0.25">
      <c r="B6" s="1" t="s">
        <v>77</v>
      </c>
      <c r="C6" s="1" t="s">
        <v>123</v>
      </c>
      <c r="D6" s="1" t="s">
        <v>124</v>
      </c>
      <c r="E6" s="1" t="s">
        <v>77</v>
      </c>
      <c r="F6" t="s">
        <v>121</v>
      </c>
      <c r="G6" t="s">
        <v>135</v>
      </c>
      <c r="H6" s="3" t="s">
        <v>58</v>
      </c>
      <c r="I6" s="1" t="s">
        <v>77</v>
      </c>
      <c r="J6" s="1" t="s">
        <v>59</v>
      </c>
      <c r="K6" s="1" t="s">
        <v>79</v>
      </c>
      <c r="L6" s="1" t="s">
        <v>422</v>
      </c>
      <c r="Q6" s="1" t="s">
        <v>99</v>
      </c>
      <c r="S6" s="1" t="s">
        <v>63</v>
      </c>
      <c r="T6" s="1" t="s">
        <v>63</v>
      </c>
      <c r="U6" s="1" t="s">
        <v>59</v>
      </c>
      <c r="V6" s="1" t="s">
        <v>127</v>
      </c>
      <c r="Y6" s="1" t="s">
        <v>128</v>
      </c>
      <c r="Z6" s="1" t="str">
        <f t="shared" si="0"/>
        <v>Flange. Blind DN32 CL150 RF smooth (3.2-6.3 um) CS ASTM A105N Dims to ASME B16.5</v>
      </c>
      <c r="AA6" s="1" t="s">
        <v>66</v>
      </c>
      <c r="AG6" t="s">
        <v>129</v>
      </c>
      <c r="AM6" t="s">
        <v>130</v>
      </c>
      <c r="AO6" t="s">
        <v>131</v>
      </c>
      <c r="AS6" t="s">
        <v>132</v>
      </c>
    </row>
    <row r="7" spans="1:46" x14ac:dyDescent="0.25">
      <c r="B7" s="1" t="s">
        <v>62</v>
      </c>
      <c r="C7" s="1" t="s">
        <v>123</v>
      </c>
      <c r="D7" s="1" t="s">
        <v>124</v>
      </c>
      <c r="E7" s="1" t="s">
        <v>62</v>
      </c>
      <c r="F7" t="s">
        <v>121</v>
      </c>
      <c r="G7" t="s">
        <v>136</v>
      </c>
      <c r="H7" s="3" t="s">
        <v>58</v>
      </c>
      <c r="I7" s="1" t="s">
        <v>62</v>
      </c>
      <c r="J7" s="1" t="s">
        <v>59</v>
      </c>
      <c r="K7" s="1" t="s">
        <v>82</v>
      </c>
      <c r="L7" s="1" t="s">
        <v>422</v>
      </c>
      <c r="Q7" s="1" t="s">
        <v>99</v>
      </c>
      <c r="S7" s="1" t="s">
        <v>63</v>
      </c>
      <c r="T7" s="1" t="s">
        <v>63</v>
      </c>
      <c r="U7" s="1" t="s">
        <v>59</v>
      </c>
      <c r="V7" s="1" t="s">
        <v>127</v>
      </c>
      <c r="Y7" s="1" t="s">
        <v>128</v>
      </c>
      <c r="Z7" s="1" t="str">
        <f t="shared" si="0"/>
        <v>Flange. Blind DN40 CL150 RF smooth (3.2-6.3 um) CS ASTM A105N Dims to ASME B16.5</v>
      </c>
      <c r="AA7" s="1" t="s">
        <v>66</v>
      </c>
      <c r="AG7" t="s">
        <v>129</v>
      </c>
      <c r="AM7" t="s">
        <v>130</v>
      </c>
      <c r="AO7" t="s">
        <v>131</v>
      </c>
      <c r="AS7" t="s">
        <v>132</v>
      </c>
    </row>
    <row r="8" spans="1:46" x14ac:dyDescent="0.25">
      <c r="B8" s="1" t="s">
        <v>83</v>
      </c>
      <c r="C8" s="1" t="s">
        <v>123</v>
      </c>
      <c r="D8" s="1" t="s">
        <v>124</v>
      </c>
      <c r="E8" s="1" t="s">
        <v>83</v>
      </c>
      <c r="F8" t="s">
        <v>121</v>
      </c>
      <c r="G8" t="s">
        <v>137</v>
      </c>
      <c r="H8" s="3" t="s">
        <v>58</v>
      </c>
      <c r="I8" s="1" t="s">
        <v>83</v>
      </c>
      <c r="J8" s="1" t="s">
        <v>59</v>
      </c>
      <c r="K8" s="1" t="s">
        <v>85</v>
      </c>
      <c r="L8" s="1" t="s">
        <v>422</v>
      </c>
      <c r="Q8" s="1" t="s">
        <v>99</v>
      </c>
      <c r="S8" s="1" t="s">
        <v>63</v>
      </c>
      <c r="T8" s="1" t="s">
        <v>63</v>
      </c>
      <c r="U8" s="1" t="s">
        <v>59</v>
      </c>
      <c r="V8" s="1" t="s">
        <v>127</v>
      </c>
      <c r="Y8" s="1" t="s">
        <v>128</v>
      </c>
      <c r="Z8" s="1" t="str">
        <f t="shared" si="0"/>
        <v>Flange. Blind DN50 CL150 RF smooth (3.2-6.3 um) CS ASTM A105N Dims to ASME B16.5</v>
      </c>
      <c r="AA8" s="1" t="s">
        <v>66</v>
      </c>
      <c r="AG8" t="s">
        <v>129</v>
      </c>
      <c r="AM8" t="s">
        <v>130</v>
      </c>
      <c r="AO8" t="s">
        <v>131</v>
      </c>
      <c r="AS8" t="s">
        <v>132</v>
      </c>
    </row>
    <row r="9" spans="1:46" x14ac:dyDescent="0.25">
      <c r="B9" s="1" t="s">
        <v>86</v>
      </c>
      <c r="C9" s="1" t="s">
        <v>123</v>
      </c>
      <c r="D9" s="1" t="s">
        <v>124</v>
      </c>
      <c r="E9" s="1" t="s">
        <v>86</v>
      </c>
      <c r="F9" t="s">
        <v>121</v>
      </c>
      <c r="G9" t="s">
        <v>138</v>
      </c>
      <c r="H9" s="3" t="s">
        <v>58</v>
      </c>
      <c r="I9" s="1" t="s">
        <v>86</v>
      </c>
      <c r="J9" s="1" t="s">
        <v>59</v>
      </c>
      <c r="K9" s="1" t="s">
        <v>88</v>
      </c>
      <c r="L9" s="1" t="s">
        <v>422</v>
      </c>
      <c r="Q9" s="1" t="s">
        <v>99</v>
      </c>
      <c r="S9" s="1" t="s">
        <v>63</v>
      </c>
      <c r="T9" s="1" t="s">
        <v>63</v>
      </c>
      <c r="U9" s="1" t="s">
        <v>59</v>
      </c>
      <c r="V9" s="1" t="s">
        <v>127</v>
      </c>
      <c r="Y9" s="1" t="s">
        <v>128</v>
      </c>
      <c r="Z9" s="1" t="str">
        <f t="shared" si="0"/>
        <v>Flange. Blind DN65 CL150 RF smooth (3.2-6.3 um) CS ASTM A105N Dims to ASME B16.5</v>
      </c>
      <c r="AA9" s="1" t="s">
        <v>66</v>
      </c>
      <c r="AG9" t="s">
        <v>129</v>
      </c>
      <c r="AM9" t="s">
        <v>130</v>
      </c>
      <c r="AO9" t="s">
        <v>131</v>
      </c>
      <c r="AS9" t="s">
        <v>132</v>
      </c>
    </row>
    <row r="10" spans="1:46" x14ac:dyDescent="0.25">
      <c r="B10" s="1" t="s">
        <v>89</v>
      </c>
      <c r="C10" s="1" t="s">
        <v>123</v>
      </c>
      <c r="D10" s="1" t="s">
        <v>124</v>
      </c>
      <c r="E10" s="1" t="s">
        <v>89</v>
      </c>
      <c r="F10" t="s">
        <v>121</v>
      </c>
      <c r="G10" t="s">
        <v>139</v>
      </c>
      <c r="H10" s="3" t="s">
        <v>58</v>
      </c>
      <c r="I10" s="1" t="s">
        <v>89</v>
      </c>
      <c r="J10" s="1" t="s">
        <v>59</v>
      </c>
      <c r="K10" s="1" t="s">
        <v>91</v>
      </c>
      <c r="L10" s="1" t="s">
        <v>422</v>
      </c>
      <c r="Q10" s="1" t="s">
        <v>99</v>
      </c>
      <c r="S10" s="1" t="s">
        <v>63</v>
      </c>
      <c r="T10" s="1" t="s">
        <v>63</v>
      </c>
      <c r="U10" s="1" t="s">
        <v>59</v>
      </c>
      <c r="V10" s="1" t="s">
        <v>127</v>
      </c>
      <c r="Y10" s="1" t="s">
        <v>128</v>
      </c>
      <c r="Z10" s="1" t="str">
        <f t="shared" si="0"/>
        <v>Flange. Blind DN80 CL150 RF smooth (3.2-6.3 um) CS ASTM A105N Dims to ASME B16.5</v>
      </c>
      <c r="AA10" s="1" t="s">
        <v>66</v>
      </c>
      <c r="AG10" t="s">
        <v>129</v>
      </c>
      <c r="AM10" t="s">
        <v>130</v>
      </c>
      <c r="AO10" t="s">
        <v>131</v>
      </c>
      <c r="AS10" t="s">
        <v>132</v>
      </c>
    </row>
    <row r="11" spans="1:46" x14ac:dyDescent="0.25">
      <c r="B11" s="1" t="s">
        <v>92</v>
      </c>
      <c r="C11" s="1" t="s">
        <v>123</v>
      </c>
      <c r="D11" s="1" t="s">
        <v>124</v>
      </c>
      <c r="E11" s="1" t="s">
        <v>92</v>
      </c>
      <c r="F11" t="s">
        <v>121</v>
      </c>
      <c r="G11" t="s">
        <v>140</v>
      </c>
      <c r="H11" s="3" t="s">
        <v>58</v>
      </c>
      <c r="I11" s="1" t="s">
        <v>92</v>
      </c>
      <c r="J11" s="1" t="s">
        <v>59</v>
      </c>
      <c r="K11" s="1" t="s">
        <v>92</v>
      </c>
      <c r="L11" s="1" t="s">
        <v>422</v>
      </c>
      <c r="Q11" s="1" t="s">
        <v>99</v>
      </c>
      <c r="S11" s="1" t="s">
        <v>63</v>
      </c>
      <c r="T11" s="1" t="s">
        <v>63</v>
      </c>
      <c r="U11" s="1" t="s">
        <v>59</v>
      </c>
      <c r="V11" s="1" t="s">
        <v>127</v>
      </c>
      <c r="Y11" s="1" t="s">
        <v>128</v>
      </c>
      <c r="Z11" s="1" t="str">
        <f t="shared" si="0"/>
        <v>Flange. Blind DN90 CL150 RF smooth (3.2-6.3 um) CS ASTM A105N Dims to ASME B16.5</v>
      </c>
      <c r="AA11" s="1" t="s">
        <v>66</v>
      </c>
      <c r="AG11" t="s">
        <v>129</v>
      </c>
      <c r="AM11" t="s">
        <v>130</v>
      </c>
      <c r="AO11" t="s">
        <v>131</v>
      </c>
      <c r="AS11" t="s">
        <v>132</v>
      </c>
    </row>
    <row r="12" spans="1:46" x14ac:dyDescent="0.25">
      <c r="B12" s="1" t="s">
        <v>94</v>
      </c>
      <c r="C12" s="1" t="s">
        <v>123</v>
      </c>
      <c r="D12" s="1" t="s">
        <v>124</v>
      </c>
      <c r="E12" s="1" t="s">
        <v>94</v>
      </c>
      <c r="F12" t="s">
        <v>121</v>
      </c>
      <c r="G12" t="s">
        <v>141</v>
      </c>
      <c r="H12" s="3" t="s">
        <v>58</v>
      </c>
      <c r="I12" s="1" t="s">
        <v>94</v>
      </c>
      <c r="J12" s="1" t="s">
        <v>59</v>
      </c>
      <c r="K12" s="1" t="s">
        <v>96</v>
      </c>
      <c r="L12" s="1" t="s">
        <v>422</v>
      </c>
      <c r="Q12" s="1" t="s">
        <v>99</v>
      </c>
      <c r="S12" s="1" t="s">
        <v>63</v>
      </c>
      <c r="T12" s="1" t="s">
        <v>63</v>
      </c>
      <c r="U12" s="1" t="s">
        <v>59</v>
      </c>
      <c r="V12" s="1" t="s">
        <v>127</v>
      </c>
      <c r="Y12" s="1" t="s">
        <v>128</v>
      </c>
      <c r="Z12" s="1" t="str">
        <f t="shared" si="0"/>
        <v>Flange. Blind DN100 CL150 RF smooth (3.2-6.3 um) CS ASTM A105N Dims to ASME B16.5</v>
      </c>
      <c r="AA12" s="1" t="s">
        <v>66</v>
      </c>
      <c r="AG12" t="s">
        <v>129</v>
      </c>
      <c r="AM12" t="s">
        <v>130</v>
      </c>
      <c r="AO12" t="s">
        <v>131</v>
      </c>
      <c r="AS12" t="s">
        <v>132</v>
      </c>
    </row>
    <row r="13" spans="1:46" x14ac:dyDescent="0.25">
      <c r="B13" s="1" t="s">
        <v>97</v>
      </c>
      <c r="C13" s="1" t="s">
        <v>123</v>
      </c>
      <c r="D13" s="1" t="s">
        <v>124</v>
      </c>
      <c r="E13" s="1" t="s">
        <v>97</v>
      </c>
      <c r="F13" t="s">
        <v>121</v>
      </c>
      <c r="G13" t="s">
        <v>142</v>
      </c>
      <c r="H13" s="3" t="s">
        <v>58</v>
      </c>
      <c r="I13" s="1" t="s">
        <v>97</v>
      </c>
      <c r="J13" s="1" t="s">
        <v>59</v>
      </c>
      <c r="K13" s="1" t="s">
        <v>97</v>
      </c>
      <c r="L13" s="1" t="s">
        <v>422</v>
      </c>
      <c r="Q13" s="1" t="s">
        <v>99</v>
      </c>
      <c r="S13" s="1" t="s">
        <v>63</v>
      </c>
      <c r="T13" s="1" t="s">
        <v>63</v>
      </c>
      <c r="U13" s="1" t="s">
        <v>59</v>
      </c>
      <c r="V13" s="1" t="s">
        <v>127</v>
      </c>
      <c r="Y13" s="1" t="s">
        <v>128</v>
      </c>
      <c r="Z13" s="1" t="str">
        <f t="shared" si="0"/>
        <v>Flange. Blind DN125 CL150 RF smooth (3.2-6.3 um) CS ASTM A105N Dims to ASME B16.5</v>
      </c>
      <c r="AA13" s="1" t="s">
        <v>66</v>
      </c>
      <c r="AG13" t="s">
        <v>129</v>
      </c>
      <c r="AM13" t="s">
        <v>130</v>
      </c>
      <c r="AO13" t="s">
        <v>131</v>
      </c>
      <c r="AS13" t="s">
        <v>132</v>
      </c>
    </row>
    <row r="14" spans="1:46" x14ac:dyDescent="0.25">
      <c r="B14" s="1" t="s">
        <v>99</v>
      </c>
      <c r="C14" s="1" t="s">
        <v>123</v>
      </c>
      <c r="D14" s="1" t="s">
        <v>124</v>
      </c>
      <c r="E14" s="1" t="s">
        <v>99</v>
      </c>
      <c r="F14" t="s">
        <v>121</v>
      </c>
      <c r="G14" t="s">
        <v>143</v>
      </c>
      <c r="H14" s="3" t="s">
        <v>58</v>
      </c>
      <c r="I14" s="1" t="s">
        <v>99</v>
      </c>
      <c r="J14" s="1" t="s">
        <v>59</v>
      </c>
      <c r="K14" s="1" t="s">
        <v>101</v>
      </c>
      <c r="L14" s="1" t="s">
        <v>422</v>
      </c>
      <c r="Q14" s="1" t="s">
        <v>99</v>
      </c>
      <c r="S14" s="1" t="s">
        <v>63</v>
      </c>
      <c r="T14" s="1" t="s">
        <v>63</v>
      </c>
      <c r="U14" s="1" t="s">
        <v>59</v>
      </c>
      <c r="V14" s="1" t="s">
        <v>127</v>
      </c>
      <c r="Y14" s="1" t="s">
        <v>128</v>
      </c>
      <c r="Z14" s="1" t="str">
        <f t="shared" si="0"/>
        <v>Flange. Blind DN150 CL150 RF smooth (3.2-6.3 um) CS ASTM A105N Dims to ASME B16.5</v>
      </c>
      <c r="AA14" s="1" t="s">
        <v>66</v>
      </c>
      <c r="AG14" t="s">
        <v>129</v>
      </c>
      <c r="AM14" t="s">
        <v>130</v>
      </c>
      <c r="AO14" t="s">
        <v>131</v>
      </c>
      <c r="AS14" t="s">
        <v>132</v>
      </c>
    </row>
    <row r="15" spans="1:46" x14ac:dyDescent="0.25">
      <c r="B15" s="1" t="s">
        <v>102</v>
      </c>
      <c r="C15" s="1" t="s">
        <v>123</v>
      </c>
      <c r="D15" s="1" t="s">
        <v>124</v>
      </c>
      <c r="E15" s="1" t="s">
        <v>102</v>
      </c>
      <c r="F15" t="s">
        <v>121</v>
      </c>
      <c r="G15" t="s">
        <v>144</v>
      </c>
      <c r="H15" s="3" t="s">
        <v>58</v>
      </c>
      <c r="I15" s="1" t="s">
        <v>102</v>
      </c>
      <c r="J15" s="1" t="s">
        <v>59</v>
      </c>
      <c r="K15" s="1" t="s">
        <v>104</v>
      </c>
      <c r="L15" s="1" t="s">
        <v>422</v>
      </c>
      <c r="Q15" s="1" t="s">
        <v>99</v>
      </c>
      <c r="S15" s="1" t="s">
        <v>63</v>
      </c>
      <c r="T15" s="1" t="s">
        <v>63</v>
      </c>
      <c r="U15" s="1" t="s">
        <v>59</v>
      </c>
      <c r="V15" s="1" t="s">
        <v>127</v>
      </c>
      <c r="Y15" s="1" t="s">
        <v>128</v>
      </c>
      <c r="Z15" s="1" t="str">
        <f t="shared" si="0"/>
        <v>Flange. Blind DN200 CL150 RF smooth (3.2-6.3 um) CS ASTM A105N Dims to ASME B16.5</v>
      </c>
      <c r="AA15" s="1" t="s">
        <v>66</v>
      </c>
      <c r="AG15" t="s">
        <v>129</v>
      </c>
      <c r="AM15" t="s">
        <v>130</v>
      </c>
      <c r="AO15" t="s">
        <v>131</v>
      </c>
      <c r="AS15" t="s">
        <v>132</v>
      </c>
    </row>
    <row r="16" spans="1:46" x14ac:dyDescent="0.25">
      <c r="B16" s="1" t="s">
        <v>105</v>
      </c>
      <c r="C16" s="1" t="s">
        <v>123</v>
      </c>
      <c r="D16" s="1" t="s">
        <v>124</v>
      </c>
      <c r="E16" s="1" t="s">
        <v>105</v>
      </c>
      <c r="F16" t="s">
        <v>121</v>
      </c>
      <c r="G16" t="s">
        <v>145</v>
      </c>
      <c r="H16" s="3" t="s">
        <v>58</v>
      </c>
      <c r="I16" s="1" t="s">
        <v>105</v>
      </c>
      <c r="J16" s="1" t="s">
        <v>59</v>
      </c>
      <c r="K16" s="1" t="s">
        <v>107</v>
      </c>
      <c r="L16" s="1" t="s">
        <v>422</v>
      </c>
      <c r="Q16" s="1" t="s">
        <v>99</v>
      </c>
      <c r="S16" s="1" t="s">
        <v>63</v>
      </c>
      <c r="T16" s="1" t="s">
        <v>63</v>
      </c>
      <c r="U16" s="1" t="s">
        <v>59</v>
      </c>
      <c r="V16" s="1" t="s">
        <v>127</v>
      </c>
      <c r="Y16" s="1" t="s">
        <v>128</v>
      </c>
      <c r="Z16" s="1" t="str">
        <f t="shared" si="0"/>
        <v>Flange. Blind DN250 CL150 RF smooth (3.2-6.3 um) CS ASTM A105N Dims to ASME B16.5</v>
      </c>
      <c r="AA16" s="1" t="s">
        <v>66</v>
      </c>
      <c r="AG16" t="s">
        <v>129</v>
      </c>
      <c r="AM16" t="s">
        <v>130</v>
      </c>
      <c r="AO16" t="s">
        <v>131</v>
      </c>
      <c r="AS16" t="s">
        <v>132</v>
      </c>
    </row>
    <row r="17" spans="2:45" x14ac:dyDescent="0.25">
      <c r="B17" s="1" t="s">
        <v>108</v>
      </c>
      <c r="C17" s="1" t="s">
        <v>123</v>
      </c>
      <c r="D17" s="1" t="s">
        <v>124</v>
      </c>
      <c r="E17" s="1" t="s">
        <v>108</v>
      </c>
      <c r="F17" t="s">
        <v>121</v>
      </c>
      <c r="G17" t="s">
        <v>146</v>
      </c>
      <c r="H17" s="3" t="s">
        <v>58</v>
      </c>
      <c r="I17" s="1" t="s">
        <v>108</v>
      </c>
      <c r="J17" s="1" t="s">
        <v>59</v>
      </c>
      <c r="K17" s="1" t="s">
        <v>110</v>
      </c>
      <c r="L17" s="1" t="s">
        <v>422</v>
      </c>
      <c r="Q17" s="1" t="s">
        <v>99</v>
      </c>
      <c r="S17" s="1" t="s">
        <v>63</v>
      </c>
      <c r="T17" s="1" t="s">
        <v>63</v>
      </c>
      <c r="U17" s="1" t="s">
        <v>59</v>
      </c>
      <c r="V17" s="1" t="s">
        <v>127</v>
      </c>
      <c r="Y17" s="1" t="s">
        <v>128</v>
      </c>
      <c r="Z17" s="1" t="str">
        <f t="shared" si="0"/>
        <v>Flange. Blind DN300 CL150 RF smooth (3.2-6.3 um) CS ASTM A105N Dims to ASME B16.5</v>
      </c>
      <c r="AA17" s="1" t="s">
        <v>66</v>
      </c>
      <c r="AG17" t="s">
        <v>129</v>
      </c>
      <c r="AM17" t="s">
        <v>130</v>
      </c>
      <c r="AO17" t="s">
        <v>131</v>
      </c>
      <c r="AS17" t="s">
        <v>132</v>
      </c>
    </row>
    <row r="18" spans="2:45" x14ac:dyDescent="0.25">
      <c r="B18" s="1" t="s">
        <v>111</v>
      </c>
      <c r="C18" s="1" t="s">
        <v>123</v>
      </c>
      <c r="D18" s="1" t="s">
        <v>124</v>
      </c>
      <c r="E18" s="1" t="s">
        <v>111</v>
      </c>
      <c r="F18" t="s">
        <v>121</v>
      </c>
      <c r="G18" t="s">
        <v>147</v>
      </c>
      <c r="H18" s="3" t="s">
        <v>58</v>
      </c>
      <c r="I18" s="1" t="s">
        <v>111</v>
      </c>
      <c r="J18" s="1" t="s">
        <v>59</v>
      </c>
      <c r="K18" s="1" t="s">
        <v>113</v>
      </c>
      <c r="L18" s="1" t="s">
        <v>422</v>
      </c>
      <c r="Q18" s="1" t="s">
        <v>99</v>
      </c>
      <c r="S18" s="1" t="s">
        <v>63</v>
      </c>
      <c r="T18" s="1" t="s">
        <v>63</v>
      </c>
      <c r="U18" s="1" t="s">
        <v>59</v>
      </c>
      <c r="V18" s="1" t="s">
        <v>127</v>
      </c>
      <c r="Y18" s="1" t="s">
        <v>128</v>
      </c>
      <c r="Z18" s="1" t="str">
        <f t="shared" si="0"/>
        <v>Flange. Blind DN350 CL150 RF smooth (3.2-6.3 um) CS ASTM A105N Dims to ASME B16.5</v>
      </c>
      <c r="AA18" s="1" t="s">
        <v>66</v>
      </c>
      <c r="AG18" t="s">
        <v>129</v>
      </c>
      <c r="AM18" t="s">
        <v>130</v>
      </c>
      <c r="AO18" t="s">
        <v>131</v>
      </c>
      <c r="AS18" t="s">
        <v>132</v>
      </c>
    </row>
    <row r="19" spans="2:45" x14ac:dyDescent="0.25">
      <c r="B19" s="1" t="s">
        <v>114</v>
      </c>
      <c r="C19" s="1" t="s">
        <v>123</v>
      </c>
      <c r="D19" s="1" t="s">
        <v>124</v>
      </c>
      <c r="E19" s="1" t="s">
        <v>114</v>
      </c>
      <c r="F19" t="s">
        <v>121</v>
      </c>
      <c r="G19" t="s">
        <v>148</v>
      </c>
      <c r="H19" s="3" t="s">
        <v>58</v>
      </c>
      <c r="I19" s="1" t="s">
        <v>114</v>
      </c>
      <c r="J19" s="1" t="s">
        <v>59</v>
      </c>
      <c r="K19" s="1" t="s">
        <v>116</v>
      </c>
      <c r="L19" s="1" t="s">
        <v>422</v>
      </c>
      <c r="Q19" s="1" t="s">
        <v>99</v>
      </c>
      <c r="S19" s="1" t="s">
        <v>63</v>
      </c>
      <c r="T19" s="1" t="s">
        <v>63</v>
      </c>
      <c r="U19" s="1" t="s">
        <v>59</v>
      </c>
      <c r="V19" s="1" t="s">
        <v>127</v>
      </c>
      <c r="Y19" s="1" t="s">
        <v>128</v>
      </c>
      <c r="Z19" s="1" t="str">
        <f t="shared" si="0"/>
        <v>Flange. Blind DN400 CL150 RF smooth (3.2-6.3 um) CS ASTM A105N Dims to ASME B16.5</v>
      </c>
      <c r="AA19" s="1" t="s">
        <v>66</v>
      </c>
      <c r="AG19" t="s">
        <v>129</v>
      </c>
      <c r="AM19" t="s">
        <v>130</v>
      </c>
      <c r="AO19" t="s">
        <v>131</v>
      </c>
      <c r="AS19" t="s">
        <v>132</v>
      </c>
    </row>
    <row r="20" spans="2:45" x14ac:dyDescent="0.25">
      <c r="B20" s="1" t="s">
        <v>117</v>
      </c>
      <c r="C20" s="1" t="s">
        <v>123</v>
      </c>
      <c r="D20" s="1" t="s">
        <v>124</v>
      </c>
      <c r="E20" s="1" t="s">
        <v>117</v>
      </c>
      <c r="F20" t="s">
        <v>121</v>
      </c>
      <c r="G20" t="s">
        <v>149</v>
      </c>
      <c r="H20" s="3" t="s">
        <v>58</v>
      </c>
      <c r="I20" s="1" t="s">
        <v>117</v>
      </c>
      <c r="J20" s="1" t="s">
        <v>59</v>
      </c>
      <c r="K20" s="1" t="s">
        <v>119</v>
      </c>
      <c r="L20" s="1" t="s">
        <v>422</v>
      </c>
      <c r="Q20" s="1" t="s">
        <v>99</v>
      </c>
      <c r="S20" s="1" t="s">
        <v>63</v>
      </c>
      <c r="T20" s="1" t="s">
        <v>63</v>
      </c>
      <c r="U20" s="1" t="s">
        <v>59</v>
      </c>
      <c r="V20" s="1" t="s">
        <v>127</v>
      </c>
      <c r="Y20" s="1" t="s">
        <v>128</v>
      </c>
      <c r="Z20" s="1" t="str">
        <f t="shared" si="0"/>
        <v>Flange. Blind DN450 CL150 RF smooth (3.2-6.3 um) CS ASTM A105N Dims to ASME B16.5</v>
      </c>
      <c r="AA20" s="1" t="s">
        <v>66</v>
      </c>
      <c r="AG20" t="s">
        <v>129</v>
      </c>
      <c r="AM20" t="s">
        <v>130</v>
      </c>
      <c r="AO20" t="s">
        <v>131</v>
      </c>
      <c r="AS20" t="s">
        <v>132</v>
      </c>
    </row>
  </sheetData>
  <sheetProtection sheet="1" objects="1" formatCells="0" formatColumns="0" insertColumns="0" deleteColumns="0"/>
  <dataValidations count="2">
    <dataValidation type="list" allowBlank="1" showInputMessage="1" showErrorMessage="1" sqref="AD3:AD20" xr:uid="{00000000-0002-0000-0100-000000000000}">
      <formula1>"LB,KG"</formula1>
    </dataValidation>
    <dataValidation type="decimal" allowBlank="1" showInputMessage="1" showErrorMessage="1" sqref="AM3:AM20 AI3:AI20 AC3:AC20 S3:T20 P3:P20 K3:K20 I3:I20" xr:uid="{00000000-0002-0000-01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20"/>
  <sheetViews>
    <sheetView topLeftCell="A2" workbookViewId="0">
      <selection activeCell="A19" activeCellId="2" sqref="A15:XFD15 A17:XFD17 A19:XFD19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1" style="1" bestFit="1" customWidth="1"/>
    <col min="4" max="4" width="109.28515625" style="1" bestFit="1" customWidth="1"/>
    <col min="5" max="5" width="3.7109375" style="1" bestFit="1" customWidth="1"/>
    <col min="6" max="6" width="32.42578125" bestFit="1" customWidth="1"/>
    <col min="7" max="7" width="38" bestFit="1" customWidth="1"/>
    <col min="8" max="8" width="13.140625" style="1" bestFit="1" customWidth="1"/>
    <col min="9" max="9" width="20.140625" style="1" bestFit="1" customWidth="1"/>
    <col min="10" max="10" width="15.5703125" style="1" bestFit="1" customWidth="1"/>
    <col min="11" max="11" width="19.140625" style="1" bestFit="1" customWidth="1"/>
    <col min="12" max="12" width="11.5703125" style="1" bestFit="1" customWidth="1"/>
    <col min="13" max="13" width="12.7109375" style="1" bestFit="1" customWidth="1"/>
    <col min="14" max="14" width="13.140625" style="1" bestFit="1" customWidth="1"/>
    <col min="15" max="15" width="9.5703125" style="1" bestFit="1" customWidth="1"/>
    <col min="16" max="16" width="18.7109375" style="1" bestFit="1" customWidth="1"/>
    <col min="17" max="17" width="16.28515625" style="1" bestFit="1" customWidth="1"/>
    <col min="18" max="18" width="12.140625" style="1" bestFit="1" customWidth="1"/>
    <col min="19" max="19" width="16.85546875" style="1" bestFit="1" customWidth="1"/>
    <col min="20" max="20" width="21.42578125" style="1" bestFit="1" customWidth="1"/>
    <col min="21" max="21" width="14" style="1" bestFit="1" customWidth="1"/>
    <col min="22" max="22" width="37.42578125" bestFit="1" customWidth="1"/>
    <col min="23" max="23" width="13.140625" style="1" bestFit="1" customWidth="1"/>
    <col min="24" max="24" width="20.140625" style="1" bestFit="1" customWidth="1"/>
    <col min="25" max="25" width="15.5703125" style="1" bestFit="1" customWidth="1"/>
    <col min="26" max="26" width="19.140625" style="1" bestFit="1" customWidth="1"/>
    <col min="27" max="27" width="11.5703125" style="1" bestFit="1" customWidth="1"/>
    <col min="28" max="28" width="12.7109375" style="1" bestFit="1" customWidth="1"/>
    <col min="29" max="29" width="13.140625" style="1" bestFit="1" customWidth="1"/>
    <col min="30" max="30" width="9.5703125" style="1" bestFit="1" customWidth="1"/>
    <col min="31" max="31" width="18.7109375" style="1" bestFit="1" customWidth="1"/>
    <col min="32" max="32" width="16.28515625" style="1" bestFit="1" customWidth="1"/>
    <col min="33" max="33" width="12.140625" style="1" bestFit="1" customWidth="1"/>
    <col min="34" max="34" width="16.85546875" style="1" bestFit="1" customWidth="1"/>
    <col min="35" max="35" width="21.42578125" style="1" bestFit="1" customWidth="1"/>
    <col min="36" max="36" width="14" style="1" bestFit="1" customWidth="1"/>
    <col min="37" max="37" width="16" style="1" bestFit="1" customWidth="1"/>
    <col min="38" max="38" width="19.42578125" style="1" bestFit="1" customWidth="1"/>
    <col min="39" max="39" width="9.85546875" style="1" bestFit="1" customWidth="1"/>
    <col min="40" max="40" width="71.7109375" style="1" bestFit="1" customWidth="1"/>
    <col min="41" max="41" width="77.42578125" style="1" bestFit="1" customWidth="1"/>
    <col min="42" max="42" width="8.5703125" style="1" bestFit="1" customWidth="1"/>
    <col min="43" max="43" width="13.28515625" style="1" bestFit="1" customWidth="1"/>
    <col min="44" max="44" width="7.5703125" style="1" bestFit="1" customWidth="1"/>
    <col min="45" max="45" width="11.42578125" style="1" bestFit="1" customWidth="1"/>
    <col min="46" max="47" width="5.28515625" style="1" bestFit="1" customWidth="1"/>
    <col min="48" max="48" width="36.42578125" bestFit="1" customWidth="1"/>
    <col min="49" max="49" width="19" bestFit="1" customWidth="1"/>
    <col min="50" max="50" width="10" bestFit="1" customWidth="1"/>
    <col min="51" max="51" width="13.28515625" style="1" bestFit="1" customWidth="1"/>
    <col min="52" max="52" width="9.7109375" style="1" bestFit="1" customWidth="1"/>
    <col min="53" max="53" width="20.42578125" style="1" bestFit="1" customWidth="1"/>
    <col min="54" max="54" width="20.42578125" bestFit="1" customWidth="1"/>
    <col min="55" max="55" width="22.42578125" style="1" bestFit="1" customWidth="1"/>
    <col min="56" max="56" width="12.42578125" bestFit="1" customWidth="1"/>
    <col min="57" max="57" width="26.85546875" bestFit="1" customWidth="1"/>
    <col min="58" max="58" width="11.42578125" bestFit="1" customWidth="1"/>
    <col min="59" max="59" width="6.42578125" style="1" bestFit="1" customWidth="1"/>
    <col min="60" max="60" width="14.28515625" bestFit="1" customWidth="1"/>
    <col min="61" max="61" width="22.7109375" bestFit="1" customWidth="1"/>
    <col min="62" max="62" width="9.140625" customWidth="1"/>
  </cols>
  <sheetData>
    <row r="1" spans="1:61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t="s">
        <v>6</v>
      </c>
      <c r="G1" t="s">
        <v>150</v>
      </c>
      <c r="H1" s="3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t="s">
        <v>165</v>
      </c>
      <c r="W1" s="3" t="s">
        <v>166</v>
      </c>
      <c r="X1" s="1" t="s">
        <v>167</v>
      </c>
      <c r="Y1" s="1" t="s">
        <v>168</v>
      </c>
      <c r="Z1" s="1" t="s">
        <v>169</v>
      </c>
      <c r="AA1" s="1" t="s">
        <v>170</v>
      </c>
      <c r="AB1" s="1" t="s">
        <v>171</v>
      </c>
      <c r="AC1" s="1" t="s">
        <v>172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  <c r="AJ1" s="1" t="s">
        <v>179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t="s">
        <v>33</v>
      </c>
      <c r="AW1" t="s">
        <v>34</v>
      </c>
      <c r="AX1" t="s">
        <v>35</v>
      </c>
      <c r="AY1" s="1" t="s">
        <v>36</v>
      </c>
      <c r="AZ1" s="1" t="s">
        <v>37</v>
      </c>
      <c r="BA1" s="1" t="s">
        <v>38</v>
      </c>
      <c r="BB1" t="s">
        <v>39</v>
      </c>
      <c r="BC1" s="1" t="s">
        <v>40</v>
      </c>
      <c r="BD1" t="s">
        <v>41</v>
      </c>
      <c r="BE1" t="s">
        <v>42</v>
      </c>
      <c r="BF1" t="s">
        <v>43</v>
      </c>
      <c r="BG1" s="1" t="s">
        <v>44</v>
      </c>
      <c r="BH1" t="s">
        <v>50</v>
      </c>
      <c r="BI1" t="s">
        <v>51</v>
      </c>
    </row>
    <row r="2" spans="1:61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6</v>
      </c>
      <c r="G2" s="2" t="s">
        <v>150</v>
      </c>
      <c r="H2" s="4" t="s">
        <v>151</v>
      </c>
      <c r="I2" s="2" t="s">
        <v>152</v>
      </c>
      <c r="J2" s="2" t="s">
        <v>153</v>
      </c>
      <c r="K2" s="2" t="s">
        <v>154</v>
      </c>
      <c r="L2" s="2" t="s">
        <v>155</v>
      </c>
      <c r="M2" s="2" t="s">
        <v>156</v>
      </c>
      <c r="N2" s="2" t="s">
        <v>157</v>
      </c>
      <c r="O2" s="2" t="s">
        <v>158</v>
      </c>
      <c r="P2" s="2" t="s">
        <v>159</v>
      </c>
      <c r="Q2" s="2" t="s">
        <v>160</v>
      </c>
      <c r="R2" s="2" t="s">
        <v>161</v>
      </c>
      <c r="S2" s="2" t="s">
        <v>162</v>
      </c>
      <c r="T2" s="2" t="s">
        <v>163</v>
      </c>
      <c r="U2" s="2" t="s">
        <v>164</v>
      </c>
      <c r="V2" s="2" t="s">
        <v>165</v>
      </c>
      <c r="W2" s="4" t="s">
        <v>166</v>
      </c>
      <c r="X2" s="2" t="s">
        <v>167</v>
      </c>
      <c r="Y2" s="2" t="s">
        <v>168</v>
      </c>
      <c r="Z2" s="2" t="s">
        <v>169</v>
      </c>
      <c r="AA2" s="2" t="s">
        <v>170</v>
      </c>
      <c r="AB2" s="2" t="s">
        <v>171</v>
      </c>
      <c r="AC2" s="2" t="s">
        <v>172</v>
      </c>
      <c r="AD2" s="2" t="s">
        <v>173</v>
      </c>
      <c r="AE2" s="2" t="s">
        <v>174</v>
      </c>
      <c r="AF2" s="2" t="s">
        <v>175</v>
      </c>
      <c r="AG2" s="2" t="s">
        <v>176</v>
      </c>
      <c r="AH2" s="2" t="s">
        <v>177</v>
      </c>
      <c r="AI2" s="2" t="s">
        <v>178</v>
      </c>
      <c r="AJ2" s="2" t="s">
        <v>179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2" t="s">
        <v>27</v>
      </c>
      <c r="AQ2" s="2" t="s">
        <v>28</v>
      </c>
      <c r="AR2" s="2" t="s">
        <v>29</v>
      </c>
      <c r="AS2" s="2" t="s">
        <v>30</v>
      </c>
      <c r="AT2" s="2" t="s">
        <v>31</v>
      </c>
      <c r="AU2" s="2" t="s">
        <v>32</v>
      </c>
      <c r="AV2" s="2" t="s">
        <v>33</v>
      </c>
      <c r="AW2" s="2" t="s">
        <v>34</v>
      </c>
      <c r="AX2" s="2" t="s">
        <v>35</v>
      </c>
      <c r="AY2" s="2" t="s">
        <v>36</v>
      </c>
      <c r="AZ2" s="2" t="s">
        <v>37</v>
      </c>
      <c r="BA2" s="2" t="s">
        <v>38</v>
      </c>
      <c r="BB2" s="2" t="s">
        <v>39</v>
      </c>
      <c r="BC2" s="2" t="s">
        <v>40</v>
      </c>
      <c r="BD2" s="2" t="s">
        <v>41</v>
      </c>
      <c r="BE2" s="2" t="s">
        <v>42</v>
      </c>
      <c r="BF2" s="2" t="s">
        <v>43</v>
      </c>
      <c r="BG2" s="2" t="s">
        <v>44</v>
      </c>
      <c r="BH2" s="2" t="s">
        <v>50</v>
      </c>
      <c r="BI2" s="2" t="s">
        <v>51</v>
      </c>
    </row>
    <row r="3" spans="1:61" x14ac:dyDescent="0.25">
      <c r="B3" s="1" t="s">
        <v>54</v>
      </c>
      <c r="C3" s="1" t="s">
        <v>180</v>
      </c>
      <c r="D3" s="1" t="s">
        <v>181</v>
      </c>
      <c r="E3" s="1" t="s">
        <v>54</v>
      </c>
      <c r="F3" t="s">
        <v>121</v>
      </c>
      <c r="G3" t="s">
        <v>182</v>
      </c>
      <c r="H3" s="3" t="s">
        <v>183</v>
      </c>
      <c r="I3" s="1" t="s">
        <v>54</v>
      </c>
      <c r="J3" s="1" t="s">
        <v>59</v>
      </c>
      <c r="K3" s="1" t="s">
        <v>60</v>
      </c>
      <c r="L3" s="1" t="s">
        <v>422</v>
      </c>
      <c r="Q3" s="1" t="s">
        <v>99</v>
      </c>
      <c r="S3" s="1" t="s">
        <v>63</v>
      </c>
      <c r="T3" s="1" t="s">
        <v>63</v>
      </c>
      <c r="U3" s="1" t="s">
        <v>59</v>
      </c>
      <c r="V3" t="s">
        <v>184</v>
      </c>
      <c r="W3" s="3" t="s">
        <v>185</v>
      </c>
      <c r="X3" s="1" t="s">
        <v>54</v>
      </c>
      <c r="Y3" s="1" t="s">
        <v>59</v>
      </c>
      <c r="Z3" s="1" t="s">
        <v>60</v>
      </c>
      <c r="AA3" s="1" t="s">
        <v>61</v>
      </c>
      <c r="AF3" s="1" t="s">
        <v>99</v>
      </c>
      <c r="AH3" s="1" t="s">
        <v>63</v>
      </c>
      <c r="AI3" s="1" t="s">
        <v>63</v>
      </c>
      <c r="AJ3" s="1" t="s">
        <v>59</v>
      </c>
      <c r="AK3" s="1" t="s">
        <v>186</v>
      </c>
      <c r="AN3" s="1" t="s">
        <v>187</v>
      </c>
      <c r="AO3" s="1" t="str">
        <f>REPLACE(AN3, 11, 0, " DN" &amp; E3)</f>
        <v xml:space="preserve">Flange. WN DN15 CL150 RF smooth (3.2-6.3 um) CS ASTM A105N Dims to ASME B16.5 </v>
      </c>
      <c r="AP3" s="1" t="s">
        <v>66</v>
      </c>
      <c r="AV3" t="s">
        <v>188</v>
      </c>
      <c r="BB3" t="s">
        <v>68</v>
      </c>
      <c r="BD3" t="s">
        <v>131</v>
      </c>
      <c r="BH3" t="s">
        <v>189</v>
      </c>
    </row>
    <row r="4" spans="1:61" x14ac:dyDescent="0.25">
      <c r="B4" s="1" t="s">
        <v>71</v>
      </c>
      <c r="C4" s="1" t="s">
        <v>180</v>
      </c>
      <c r="D4" s="1" t="s">
        <v>181</v>
      </c>
      <c r="E4" s="1" t="s">
        <v>71</v>
      </c>
      <c r="F4" t="s">
        <v>121</v>
      </c>
      <c r="G4" t="s">
        <v>190</v>
      </c>
      <c r="H4" s="3" t="s">
        <v>183</v>
      </c>
      <c r="I4" s="1" t="s">
        <v>71</v>
      </c>
      <c r="J4" s="1" t="s">
        <v>59</v>
      </c>
      <c r="K4" s="1" t="s">
        <v>73</v>
      </c>
      <c r="L4" s="1" t="s">
        <v>422</v>
      </c>
      <c r="Q4" s="1" t="s">
        <v>99</v>
      </c>
      <c r="S4" s="1" t="s">
        <v>63</v>
      </c>
      <c r="T4" s="1" t="s">
        <v>63</v>
      </c>
      <c r="U4" s="1" t="s">
        <v>59</v>
      </c>
      <c r="V4" t="s">
        <v>191</v>
      </c>
      <c r="W4" s="3" t="s">
        <v>185</v>
      </c>
      <c r="X4" s="1" t="s">
        <v>71</v>
      </c>
      <c r="Y4" s="1" t="s">
        <v>59</v>
      </c>
      <c r="Z4" s="1" t="s">
        <v>73</v>
      </c>
      <c r="AA4" s="1" t="s">
        <v>61</v>
      </c>
      <c r="AF4" s="1" t="s">
        <v>99</v>
      </c>
      <c r="AH4" s="1" t="s">
        <v>63</v>
      </c>
      <c r="AI4" s="1" t="s">
        <v>63</v>
      </c>
      <c r="AJ4" s="1" t="s">
        <v>59</v>
      </c>
      <c r="AK4" s="1" t="s">
        <v>186</v>
      </c>
      <c r="AN4" s="1" t="s">
        <v>187</v>
      </c>
      <c r="AO4" s="1" t="str">
        <f t="shared" ref="AO4:AO20" si="0">REPLACE(AN4, 11, 0, " DN" &amp; E4)</f>
        <v xml:space="preserve">Flange. WN DN20 CL150 RF smooth (3.2-6.3 um) CS ASTM A105N Dims to ASME B16.5 </v>
      </c>
      <c r="AP4" s="1" t="s">
        <v>66</v>
      </c>
      <c r="AV4" t="s">
        <v>188</v>
      </c>
      <c r="BB4" t="s">
        <v>68</v>
      </c>
      <c r="BD4" t="s">
        <v>131</v>
      </c>
      <c r="BH4" t="s">
        <v>189</v>
      </c>
    </row>
    <row r="5" spans="1:61" x14ac:dyDescent="0.25">
      <c r="B5" s="1" t="s">
        <v>74</v>
      </c>
      <c r="C5" s="1" t="s">
        <v>180</v>
      </c>
      <c r="D5" s="1" t="s">
        <v>181</v>
      </c>
      <c r="E5" s="1" t="s">
        <v>74</v>
      </c>
      <c r="F5" t="s">
        <v>121</v>
      </c>
      <c r="G5" t="s">
        <v>192</v>
      </c>
      <c r="H5" s="3" t="s">
        <v>183</v>
      </c>
      <c r="I5" s="1" t="s">
        <v>74</v>
      </c>
      <c r="J5" s="1" t="s">
        <v>59</v>
      </c>
      <c r="K5" s="1" t="s">
        <v>76</v>
      </c>
      <c r="L5" s="1" t="s">
        <v>422</v>
      </c>
      <c r="Q5" s="1" t="s">
        <v>99</v>
      </c>
      <c r="S5" s="1" t="s">
        <v>63</v>
      </c>
      <c r="T5" s="1" t="s">
        <v>63</v>
      </c>
      <c r="U5" s="1" t="s">
        <v>59</v>
      </c>
      <c r="V5" t="s">
        <v>193</v>
      </c>
      <c r="W5" s="3" t="s">
        <v>185</v>
      </c>
      <c r="X5" s="1" t="s">
        <v>74</v>
      </c>
      <c r="Y5" s="1" t="s">
        <v>59</v>
      </c>
      <c r="Z5" s="1" t="s">
        <v>76</v>
      </c>
      <c r="AA5" s="1" t="s">
        <v>61</v>
      </c>
      <c r="AF5" s="1" t="s">
        <v>99</v>
      </c>
      <c r="AH5" s="1" t="s">
        <v>63</v>
      </c>
      <c r="AI5" s="1" t="s">
        <v>63</v>
      </c>
      <c r="AJ5" s="1" t="s">
        <v>59</v>
      </c>
      <c r="AK5" s="1" t="s">
        <v>186</v>
      </c>
      <c r="AN5" s="1" t="s">
        <v>187</v>
      </c>
      <c r="AO5" s="1" t="str">
        <f t="shared" si="0"/>
        <v xml:space="preserve">Flange. WN DN25 CL150 RF smooth (3.2-6.3 um) CS ASTM A105N Dims to ASME B16.5 </v>
      </c>
      <c r="AP5" s="1" t="s">
        <v>66</v>
      </c>
      <c r="AV5" t="s">
        <v>188</v>
      </c>
      <c r="BB5" t="s">
        <v>68</v>
      </c>
      <c r="BD5" t="s">
        <v>131</v>
      </c>
      <c r="BH5" t="s">
        <v>189</v>
      </c>
    </row>
    <row r="6" spans="1:61" x14ac:dyDescent="0.25">
      <c r="B6" s="1" t="s">
        <v>77</v>
      </c>
      <c r="C6" s="1" t="s">
        <v>180</v>
      </c>
      <c r="D6" s="1" t="s">
        <v>181</v>
      </c>
      <c r="E6" s="1" t="s">
        <v>77</v>
      </c>
      <c r="F6" t="s">
        <v>121</v>
      </c>
      <c r="G6" t="s">
        <v>194</v>
      </c>
      <c r="H6" s="3" t="s">
        <v>183</v>
      </c>
      <c r="I6" s="1" t="s">
        <v>77</v>
      </c>
      <c r="J6" s="1" t="s">
        <v>59</v>
      </c>
      <c r="K6" s="1" t="s">
        <v>79</v>
      </c>
      <c r="L6" s="1" t="s">
        <v>422</v>
      </c>
      <c r="Q6" s="1" t="s">
        <v>99</v>
      </c>
      <c r="S6" s="1" t="s">
        <v>63</v>
      </c>
      <c r="T6" s="1" t="s">
        <v>63</v>
      </c>
      <c r="U6" s="1" t="s">
        <v>59</v>
      </c>
      <c r="V6" t="s">
        <v>195</v>
      </c>
      <c r="W6" s="3" t="s">
        <v>185</v>
      </c>
      <c r="X6" s="1" t="s">
        <v>77</v>
      </c>
      <c r="Y6" s="1" t="s">
        <v>59</v>
      </c>
      <c r="Z6" s="1" t="s">
        <v>79</v>
      </c>
      <c r="AA6" s="1" t="s">
        <v>61</v>
      </c>
      <c r="AF6" s="1" t="s">
        <v>99</v>
      </c>
      <c r="AH6" s="1" t="s">
        <v>63</v>
      </c>
      <c r="AI6" s="1" t="s">
        <v>63</v>
      </c>
      <c r="AJ6" s="1" t="s">
        <v>59</v>
      </c>
      <c r="AK6" s="1" t="s">
        <v>186</v>
      </c>
      <c r="AN6" s="1" t="s">
        <v>187</v>
      </c>
      <c r="AO6" s="1" t="str">
        <f t="shared" si="0"/>
        <v xml:space="preserve">Flange. WN DN32 CL150 RF smooth (3.2-6.3 um) CS ASTM A105N Dims to ASME B16.5 </v>
      </c>
      <c r="AP6" s="1" t="s">
        <v>66</v>
      </c>
      <c r="AV6" t="s">
        <v>188</v>
      </c>
      <c r="BB6" t="s">
        <v>68</v>
      </c>
      <c r="BD6" t="s">
        <v>131</v>
      </c>
      <c r="BH6" t="s">
        <v>189</v>
      </c>
    </row>
    <row r="7" spans="1:61" x14ac:dyDescent="0.25">
      <c r="B7" s="1" t="s">
        <v>62</v>
      </c>
      <c r="C7" s="1" t="s">
        <v>180</v>
      </c>
      <c r="D7" s="1" t="s">
        <v>181</v>
      </c>
      <c r="E7" s="1" t="s">
        <v>62</v>
      </c>
      <c r="F7" t="s">
        <v>121</v>
      </c>
      <c r="G7" t="s">
        <v>196</v>
      </c>
      <c r="H7" s="3" t="s">
        <v>183</v>
      </c>
      <c r="I7" s="1" t="s">
        <v>62</v>
      </c>
      <c r="J7" s="1" t="s">
        <v>59</v>
      </c>
      <c r="K7" s="1" t="s">
        <v>82</v>
      </c>
      <c r="L7" s="1" t="s">
        <v>422</v>
      </c>
      <c r="Q7" s="1" t="s">
        <v>99</v>
      </c>
      <c r="S7" s="1" t="s">
        <v>63</v>
      </c>
      <c r="T7" s="1" t="s">
        <v>63</v>
      </c>
      <c r="U7" s="1" t="s">
        <v>59</v>
      </c>
      <c r="V7" t="s">
        <v>197</v>
      </c>
      <c r="W7" s="3" t="s">
        <v>185</v>
      </c>
      <c r="X7" s="1" t="s">
        <v>62</v>
      </c>
      <c r="Y7" s="1" t="s">
        <v>59</v>
      </c>
      <c r="Z7" s="1" t="s">
        <v>82</v>
      </c>
      <c r="AA7" s="1" t="s">
        <v>61</v>
      </c>
      <c r="AF7" s="1" t="s">
        <v>99</v>
      </c>
      <c r="AH7" s="1" t="s">
        <v>63</v>
      </c>
      <c r="AI7" s="1" t="s">
        <v>63</v>
      </c>
      <c r="AJ7" s="1" t="s">
        <v>59</v>
      </c>
      <c r="AK7" s="1" t="s">
        <v>186</v>
      </c>
      <c r="AN7" s="1" t="s">
        <v>187</v>
      </c>
      <c r="AO7" s="1" t="str">
        <f t="shared" si="0"/>
        <v xml:space="preserve">Flange. WN DN40 CL150 RF smooth (3.2-6.3 um) CS ASTM A105N Dims to ASME B16.5 </v>
      </c>
      <c r="AP7" s="1" t="s">
        <v>66</v>
      </c>
      <c r="AV7" t="s">
        <v>188</v>
      </c>
      <c r="BB7" t="s">
        <v>68</v>
      </c>
      <c r="BD7" t="s">
        <v>131</v>
      </c>
      <c r="BH7" t="s">
        <v>189</v>
      </c>
    </row>
    <row r="8" spans="1:61" x14ac:dyDescent="0.25">
      <c r="B8" s="1" t="s">
        <v>83</v>
      </c>
      <c r="C8" s="1" t="s">
        <v>180</v>
      </c>
      <c r="D8" s="1" t="s">
        <v>181</v>
      </c>
      <c r="E8" s="1" t="s">
        <v>83</v>
      </c>
      <c r="F8" t="s">
        <v>121</v>
      </c>
      <c r="G8" t="s">
        <v>198</v>
      </c>
      <c r="H8" s="3" t="s">
        <v>183</v>
      </c>
      <c r="I8" s="1" t="s">
        <v>83</v>
      </c>
      <c r="J8" s="1" t="s">
        <v>59</v>
      </c>
      <c r="K8" s="1" t="s">
        <v>85</v>
      </c>
      <c r="L8" s="1" t="s">
        <v>422</v>
      </c>
      <c r="Q8" s="1" t="s">
        <v>99</v>
      </c>
      <c r="S8" s="1" t="s">
        <v>63</v>
      </c>
      <c r="T8" s="1" t="s">
        <v>63</v>
      </c>
      <c r="U8" s="1" t="s">
        <v>59</v>
      </c>
      <c r="V8" t="s">
        <v>199</v>
      </c>
      <c r="W8" s="3" t="s">
        <v>185</v>
      </c>
      <c r="X8" s="1" t="s">
        <v>83</v>
      </c>
      <c r="Y8" s="1" t="s">
        <v>59</v>
      </c>
      <c r="Z8" s="1" t="s">
        <v>85</v>
      </c>
      <c r="AA8" s="1" t="s">
        <v>61</v>
      </c>
      <c r="AF8" s="1" t="s">
        <v>99</v>
      </c>
      <c r="AH8" s="1" t="s">
        <v>63</v>
      </c>
      <c r="AI8" s="1" t="s">
        <v>63</v>
      </c>
      <c r="AJ8" s="1" t="s">
        <v>59</v>
      </c>
      <c r="AK8" s="1" t="s">
        <v>186</v>
      </c>
      <c r="AN8" s="1" t="s">
        <v>187</v>
      </c>
      <c r="AO8" s="1" t="str">
        <f t="shared" si="0"/>
        <v xml:space="preserve">Flange. WN DN50 CL150 RF smooth (3.2-6.3 um) CS ASTM A105N Dims to ASME B16.5 </v>
      </c>
      <c r="AP8" s="1" t="s">
        <v>66</v>
      </c>
      <c r="AV8" t="s">
        <v>188</v>
      </c>
      <c r="BB8" t="s">
        <v>68</v>
      </c>
      <c r="BD8" t="s">
        <v>131</v>
      </c>
      <c r="BH8" t="s">
        <v>189</v>
      </c>
    </row>
    <row r="9" spans="1:61" x14ac:dyDescent="0.25">
      <c r="B9" s="1" t="s">
        <v>86</v>
      </c>
      <c r="C9" s="1" t="s">
        <v>180</v>
      </c>
      <c r="D9" s="1" t="s">
        <v>181</v>
      </c>
      <c r="E9" s="1" t="s">
        <v>86</v>
      </c>
      <c r="F9" t="s">
        <v>121</v>
      </c>
      <c r="G9" t="s">
        <v>200</v>
      </c>
      <c r="H9" s="3" t="s">
        <v>183</v>
      </c>
      <c r="I9" s="1" t="s">
        <v>86</v>
      </c>
      <c r="J9" s="1" t="s">
        <v>59</v>
      </c>
      <c r="K9" s="1" t="s">
        <v>88</v>
      </c>
      <c r="L9" s="1" t="s">
        <v>422</v>
      </c>
      <c r="Q9" s="1" t="s">
        <v>99</v>
      </c>
      <c r="S9" s="1" t="s">
        <v>63</v>
      </c>
      <c r="T9" s="1" t="s">
        <v>63</v>
      </c>
      <c r="U9" s="1" t="s">
        <v>59</v>
      </c>
      <c r="V9" t="s">
        <v>201</v>
      </c>
      <c r="W9" s="3" t="s">
        <v>185</v>
      </c>
      <c r="X9" s="1" t="s">
        <v>86</v>
      </c>
      <c r="Y9" s="1" t="s">
        <v>59</v>
      </c>
      <c r="Z9" s="1" t="s">
        <v>88</v>
      </c>
      <c r="AA9" s="1" t="s">
        <v>61</v>
      </c>
      <c r="AF9" s="1" t="s">
        <v>99</v>
      </c>
      <c r="AH9" s="1" t="s">
        <v>63</v>
      </c>
      <c r="AI9" s="1" t="s">
        <v>63</v>
      </c>
      <c r="AJ9" s="1" t="s">
        <v>59</v>
      </c>
      <c r="AK9" s="1" t="s">
        <v>186</v>
      </c>
      <c r="AN9" s="1" t="s">
        <v>187</v>
      </c>
      <c r="AO9" s="1" t="str">
        <f t="shared" si="0"/>
        <v xml:space="preserve">Flange. WN DN65 CL150 RF smooth (3.2-6.3 um) CS ASTM A105N Dims to ASME B16.5 </v>
      </c>
      <c r="AP9" s="1" t="s">
        <v>66</v>
      </c>
      <c r="AV9" t="s">
        <v>188</v>
      </c>
      <c r="BB9" t="s">
        <v>68</v>
      </c>
      <c r="BD9" t="s">
        <v>131</v>
      </c>
      <c r="BH9" t="s">
        <v>189</v>
      </c>
    </row>
    <row r="10" spans="1:61" x14ac:dyDescent="0.25">
      <c r="B10" s="1" t="s">
        <v>89</v>
      </c>
      <c r="C10" s="1" t="s">
        <v>180</v>
      </c>
      <c r="D10" s="1" t="s">
        <v>181</v>
      </c>
      <c r="E10" s="1" t="s">
        <v>89</v>
      </c>
      <c r="F10" t="s">
        <v>121</v>
      </c>
      <c r="G10" t="s">
        <v>202</v>
      </c>
      <c r="H10" s="3" t="s">
        <v>183</v>
      </c>
      <c r="I10" s="1" t="s">
        <v>89</v>
      </c>
      <c r="J10" s="1" t="s">
        <v>59</v>
      </c>
      <c r="K10" s="1" t="s">
        <v>91</v>
      </c>
      <c r="L10" s="1" t="s">
        <v>422</v>
      </c>
      <c r="Q10" s="1" t="s">
        <v>99</v>
      </c>
      <c r="S10" s="1" t="s">
        <v>63</v>
      </c>
      <c r="T10" s="1" t="s">
        <v>63</v>
      </c>
      <c r="U10" s="1" t="s">
        <v>59</v>
      </c>
      <c r="V10" t="s">
        <v>203</v>
      </c>
      <c r="W10" s="3" t="s">
        <v>185</v>
      </c>
      <c r="X10" s="1" t="s">
        <v>89</v>
      </c>
      <c r="Y10" s="1" t="s">
        <v>59</v>
      </c>
      <c r="Z10" s="1" t="s">
        <v>91</v>
      </c>
      <c r="AA10" s="1" t="s">
        <v>61</v>
      </c>
      <c r="AF10" s="1" t="s">
        <v>99</v>
      </c>
      <c r="AH10" s="1" t="s">
        <v>63</v>
      </c>
      <c r="AI10" s="1" t="s">
        <v>63</v>
      </c>
      <c r="AJ10" s="1" t="s">
        <v>59</v>
      </c>
      <c r="AK10" s="1" t="s">
        <v>186</v>
      </c>
      <c r="AN10" s="1" t="s">
        <v>187</v>
      </c>
      <c r="AO10" s="1" t="str">
        <f t="shared" si="0"/>
        <v xml:space="preserve">Flange. WN DN80 CL150 RF smooth (3.2-6.3 um) CS ASTM A105N Dims to ASME B16.5 </v>
      </c>
      <c r="AP10" s="1" t="s">
        <v>66</v>
      </c>
      <c r="AV10" t="s">
        <v>188</v>
      </c>
      <c r="BB10" t="s">
        <v>68</v>
      </c>
      <c r="BD10" t="s">
        <v>131</v>
      </c>
      <c r="BH10" t="s">
        <v>189</v>
      </c>
    </row>
    <row r="11" spans="1:61" x14ac:dyDescent="0.25">
      <c r="B11" s="1" t="s">
        <v>92</v>
      </c>
      <c r="C11" s="1" t="s">
        <v>180</v>
      </c>
      <c r="D11" s="1" t="s">
        <v>181</v>
      </c>
      <c r="E11" s="1" t="s">
        <v>92</v>
      </c>
      <c r="F11" t="s">
        <v>121</v>
      </c>
      <c r="G11" t="s">
        <v>204</v>
      </c>
      <c r="H11" s="3" t="s">
        <v>183</v>
      </c>
      <c r="I11" s="1" t="s">
        <v>92</v>
      </c>
      <c r="J11" s="1" t="s">
        <v>59</v>
      </c>
      <c r="K11" s="1" t="s">
        <v>92</v>
      </c>
      <c r="L11" s="1" t="s">
        <v>422</v>
      </c>
      <c r="Q11" s="1" t="s">
        <v>99</v>
      </c>
      <c r="S11" s="1" t="s">
        <v>63</v>
      </c>
      <c r="T11" s="1" t="s">
        <v>63</v>
      </c>
      <c r="U11" s="1" t="s">
        <v>59</v>
      </c>
      <c r="V11" t="s">
        <v>205</v>
      </c>
      <c r="W11" s="3" t="s">
        <v>185</v>
      </c>
      <c r="X11" s="1" t="s">
        <v>92</v>
      </c>
      <c r="Y11" s="1" t="s">
        <v>59</v>
      </c>
      <c r="Z11" s="1" t="s">
        <v>92</v>
      </c>
      <c r="AA11" s="1" t="s">
        <v>61</v>
      </c>
      <c r="AF11" s="1" t="s">
        <v>99</v>
      </c>
      <c r="AH11" s="1" t="s">
        <v>63</v>
      </c>
      <c r="AI11" s="1" t="s">
        <v>63</v>
      </c>
      <c r="AJ11" s="1" t="s">
        <v>59</v>
      </c>
      <c r="AK11" s="1" t="s">
        <v>186</v>
      </c>
      <c r="AN11" s="1" t="s">
        <v>187</v>
      </c>
      <c r="AO11" s="1" t="str">
        <f t="shared" si="0"/>
        <v xml:space="preserve">Flange. WN DN90 CL150 RF smooth (3.2-6.3 um) CS ASTM A105N Dims to ASME B16.5 </v>
      </c>
      <c r="AP11" s="1" t="s">
        <v>66</v>
      </c>
      <c r="AV11" t="s">
        <v>188</v>
      </c>
      <c r="BB11" t="s">
        <v>68</v>
      </c>
      <c r="BD11" t="s">
        <v>131</v>
      </c>
      <c r="BH11" t="s">
        <v>189</v>
      </c>
    </row>
    <row r="12" spans="1:61" x14ac:dyDescent="0.25">
      <c r="B12" s="1" t="s">
        <v>94</v>
      </c>
      <c r="C12" s="1" t="s">
        <v>180</v>
      </c>
      <c r="D12" s="1" t="s">
        <v>181</v>
      </c>
      <c r="E12" s="1" t="s">
        <v>94</v>
      </c>
      <c r="F12" t="s">
        <v>121</v>
      </c>
      <c r="G12" t="s">
        <v>206</v>
      </c>
      <c r="H12" s="3" t="s">
        <v>183</v>
      </c>
      <c r="I12" s="1" t="s">
        <v>94</v>
      </c>
      <c r="J12" s="1" t="s">
        <v>59</v>
      </c>
      <c r="K12" s="1" t="s">
        <v>96</v>
      </c>
      <c r="L12" s="1" t="s">
        <v>422</v>
      </c>
      <c r="Q12" s="1" t="s">
        <v>99</v>
      </c>
      <c r="S12" s="1" t="s">
        <v>63</v>
      </c>
      <c r="T12" s="1" t="s">
        <v>63</v>
      </c>
      <c r="U12" s="1" t="s">
        <v>59</v>
      </c>
      <c r="V12" t="s">
        <v>207</v>
      </c>
      <c r="W12" s="3" t="s">
        <v>185</v>
      </c>
      <c r="X12" s="1" t="s">
        <v>94</v>
      </c>
      <c r="Y12" s="1" t="s">
        <v>59</v>
      </c>
      <c r="Z12" s="1" t="s">
        <v>96</v>
      </c>
      <c r="AA12" s="1" t="s">
        <v>61</v>
      </c>
      <c r="AF12" s="1" t="s">
        <v>99</v>
      </c>
      <c r="AH12" s="1" t="s">
        <v>63</v>
      </c>
      <c r="AI12" s="1" t="s">
        <v>63</v>
      </c>
      <c r="AJ12" s="1" t="s">
        <v>59</v>
      </c>
      <c r="AK12" s="1" t="s">
        <v>186</v>
      </c>
      <c r="AN12" s="1" t="s">
        <v>187</v>
      </c>
      <c r="AO12" s="1" t="str">
        <f t="shared" si="0"/>
        <v xml:space="preserve">Flange. WN DN100 CL150 RF smooth (3.2-6.3 um) CS ASTM A105N Dims to ASME B16.5 </v>
      </c>
      <c r="AP12" s="1" t="s">
        <v>66</v>
      </c>
      <c r="AV12" t="s">
        <v>188</v>
      </c>
      <c r="BB12" t="s">
        <v>68</v>
      </c>
      <c r="BD12" t="s">
        <v>131</v>
      </c>
      <c r="BH12" t="s">
        <v>189</v>
      </c>
    </row>
    <row r="13" spans="1:61" x14ac:dyDescent="0.25">
      <c r="B13" s="1" t="s">
        <v>97</v>
      </c>
      <c r="C13" s="1" t="s">
        <v>180</v>
      </c>
      <c r="D13" s="1" t="s">
        <v>181</v>
      </c>
      <c r="E13" s="1" t="s">
        <v>97</v>
      </c>
      <c r="F13" t="s">
        <v>121</v>
      </c>
      <c r="G13" t="s">
        <v>208</v>
      </c>
      <c r="H13" s="3" t="s">
        <v>183</v>
      </c>
      <c r="I13" s="1" t="s">
        <v>97</v>
      </c>
      <c r="J13" s="1" t="s">
        <v>59</v>
      </c>
      <c r="K13" s="1" t="s">
        <v>97</v>
      </c>
      <c r="L13" s="1" t="s">
        <v>422</v>
      </c>
      <c r="Q13" s="1" t="s">
        <v>99</v>
      </c>
      <c r="S13" s="1" t="s">
        <v>63</v>
      </c>
      <c r="T13" s="1" t="s">
        <v>63</v>
      </c>
      <c r="U13" s="1" t="s">
        <v>59</v>
      </c>
      <c r="V13" t="s">
        <v>209</v>
      </c>
      <c r="W13" s="3" t="s">
        <v>185</v>
      </c>
      <c r="X13" s="1" t="s">
        <v>97</v>
      </c>
      <c r="Y13" s="1" t="s">
        <v>59</v>
      </c>
      <c r="Z13" s="1" t="s">
        <v>97</v>
      </c>
      <c r="AA13" s="1" t="s">
        <v>61</v>
      </c>
      <c r="AF13" s="1" t="s">
        <v>99</v>
      </c>
      <c r="AH13" s="1" t="s">
        <v>63</v>
      </c>
      <c r="AI13" s="1" t="s">
        <v>63</v>
      </c>
      <c r="AJ13" s="1" t="s">
        <v>59</v>
      </c>
      <c r="AK13" s="1" t="s">
        <v>186</v>
      </c>
      <c r="AN13" s="1" t="s">
        <v>187</v>
      </c>
      <c r="AO13" s="1" t="str">
        <f t="shared" si="0"/>
        <v xml:space="preserve">Flange. WN DN125 CL150 RF smooth (3.2-6.3 um) CS ASTM A105N Dims to ASME B16.5 </v>
      </c>
      <c r="AP13" s="1" t="s">
        <v>66</v>
      </c>
      <c r="AV13" t="s">
        <v>188</v>
      </c>
      <c r="BB13" t="s">
        <v>68</v>
      </c>
      <c r="BD13" t="s">
        <v>131</v>
      </c>
      <c r="BH13" t="s">
        <v>189</v>
      </c>
    </row>
    <row r="14" spans="1:61" x14ac:dyDescent="0.25">
      <c r="B14" s="1" t="s">
        <v>99</v>
      </c>
      <c r="C14" s="1" t="s">
        <v>180</v>
      </c>
      <c r="D14" s="1" t="s">
        <v>181</v>
      </c>
      <c r="E14" s="1" t="s">
        <v>99</v>
      </c>
      <c r="F14" t="s">
        <v>121</v>
      </c>
      <c r="G14" t="s">
        <v>210</v>
      </c>
      <c r="H14" s="3" t="s">
        <v>183</v>
      </c>
      <c r="I14" s="1" t="s">
        <v>99</v>
      </c>
      <c r="J14" s="1" t="s">
        <v>59</v>
      </c>
      <c r="K14" s="1" t="s">
        <v>101</v>
      </c>
      <c r="L14" s="1" t="s">
        <v>422</v>
      </c>
      <c r="Q14" s="1" t="s">
        <v>99</v>
      </c>
      <c r="S14" s="1" t="s">
        <v>63</v>
      </c>
      <c r="T14" s="1" t="s">
        <v>63</v>
      </c>
      <c r="U14" s="1" t="s">
        <v>59</v>
      </c>
      <c r="V14" t="s">
        <v>211</v>
      </c>
      <c r="W14" s="3" t="s">
        <v>185</v>
      </c>
      <c r="X14" s="1" t="s">
        <v>99</v>
      </c>
      <c r="Y14" s="1" t="s">
        <v>59</v>
      </c>
      <c r="Z14" s="1" t="s">
        <v>101</v>
      </c>
      <c r="AA14" s="1" t="s">
        <v>61</v>
      </c>
      <c r="AF14" s="1" t="s">
        <v>99</v>
      </c>
      <c r="AH14" s="1" t="s">
        <v>63</v>
      </c>
      <c r="AI14" s="1" t="s">
        <v>63</v>
      </c>
      <c r="AJ14" s="1" t="s">
        <v>59</v>
      </c>
      <c r="AK14" s="1" t="s">
        <v>186</v>
      </c>
      <c r="AN14" s="1" t="s">
        <v>187</v>
      </c>
      <c r="AO14" s="1" t="str">
        <f t="shared" si="0"/>
        <v xml:space="preserve">Flange. WN DN150 CL150 RF smooth (3.2-6.3 um) CS ASTM A105N Dims to ASME B16.5 </v>
      </c>
      <c r="AP14" s="1" t="s">
        <v>66</v>
      </c>
      <c r="AV14" t="s">
        <v>188</v>
      </c>
      <c r="BB14" t="s">
        <v>68</v>
      </c>
      <c r="BD14" t="s">
        <v>131</v>
      </c>
      <c r="BH14" t="s">
        <v>189</v>
      </c>
    </row>
    <row r="15" spans="1:61" x14ac:dyDescent="0.25">
      <c r="B15" s="1" t="s">
        <v>102</v>
      </c>
      <c r="C15" s="1" t="s">
        <v>180</v>
      </c>
      <c r="D15" s="1" t="s">
        <v>181</v>
      </c>
      <c r="E15" s="1" t="s">
        <v>102</v>
      </c>
      <c r="F15" t="s">
        <v>121</v>
      </c>
      <c r="G15" t="s">
        <v>212</v>
      </c>
      <c r="H15" s="3" t="s">
        <v>183</v>
      </c>
      <c r="I15" s="1" t="s">
        <v>102</v>
      </c>
      <c r="J15" s="1" t="s">
        <v>59</v>
      </c>
      <c r="K15" s="1" t="s">
        <v>104</v>
      </c>
      <c r="L15" s="1" t="s">
        <v>422</v>
      </c>
      <c r="Q15" s="1" t="s">
        <v>99</v>
      </c>
      <c r="S15" s="1" t="s">
        <v>63</v>
      </c>
      <c r="T15" s="1" t="s">
        <v>63</v>
      </c>
      <c r="U15" s="1" t="s">
        <v>59</v>
      </c>
      <c r="V15" t="s">
        <v>213</v>
      </c>
      <c r="W15" s="3" t="s">
        <v>185</v>
      </c>
      <c r="X15" s="1" t="s">
        <v>102</v>
      </c>
      <c r="Y15" s="1" t="s">
        <v>59</v>
      </c>
      <c r="Z15" s="1" t="s">
        <v>104</v>
      </c>
      <c r="AA15" s="1" t="s">
        <v>61</v>
      </c>
      <c r="AF15" s="1" t="s">
        <v>99</v>
      </c>
      <c r="AH15" s="1" t="s">
        <v>63</v>
      </c>
      <c r="AI15" s="1" t="s">
        <v>63</v>
      </c>
      <c r="AJ15" s="1" t="s">
        <v>59</v>
      </c>
      <c r="AK15" s="1" t="s">
        <v>186</v>
      </c>
      <c r="AN15" s="1" t="s">
        <v>187</v>
      </c>
      <c r="AO15" s="1" t="str">
        <f t="shared" si="0"/>
        <v xml:space="preserve">Flange. WN DN200 CL150 RF smooth (3.2-6.3 um) CS ASTM A105N Dims to ASME B16.5 </v>
      </c>
      <c r="AP15" s="1" t="s">
        <v>66</v>
      </c>
      <c r="AV15" t="s">
        <v>188</v>
      </c>
      <c r="BB15" t="s">
        <v>68</v>
      </c>
      <c r="BD15" t="s">
        <v>131</v>
      </c>
      <c r="BH15" t="s">
        <v>189</v>
      </c>
    </row>
    <row r="16" spans="1:61" x14ac:dyDescent="0.25">
      <c r="B16" s="1" t="s">
        <v>105</v>
      </c>
      <c r="C16" s="1" t="s">
        <v>180</v>
      </c>
      <c r="D16" s="1" t="s">
        <v>181</v>
      </c>
      <c r="E16" s="1" t="s">
        <v>105</v>
      </c>
      <c r="F16" t="s">
        <v>121</v>
      </c>
      <c r="G16" t="s">
        <v>214</v>
      </c>
      <c r="H16" s="3" t="s">
        <v>183</v>
      </c>
      <c r="I16" s="1" t="s">
        <v>105</v>
      </c>
      <c r="J16" s="1" t="s">
        <v>59</v>
      </c>
      <c r="K16" s="1" t="s">
        <v>107</v>
      </c>
      <c r="L16" s="1" t="s">
        <v>422</v>
      </c>
      <c r="Q16" s="1" t="s">
        <v>99</v>
      </c>
      <c r="S16" s="1" t="s">
        <v>63</v>
      </c>
      <c r="T16" s="1" t="s">
        <v>63</v>
      </c>
      <c r="U16" s="1" t="s">
        <v>59</v>
      </c>
      <c r="V16" t="s">
        <v>215</v>
      </c>
      <c r="W16" s="3" t="s">
        <v>185</v>
      </c>
      <c r="X16" s="1" t="s">
        <v>105</v>
      </c>
      <c r="Y16" s="1" t="s">
        <v>59</v>
      </c>
      <c r="Z16" s="1" t="s">
        <v>107</v>
      </c>
      <c r="AA16" s="1" t="s">
        <v>61</v>
      </c>
      <c r="AF16" s="1" t="s">
        <v>99</v>
      </c>
      <c r="AH16" s="1" t="s">
        <v>63</v>
      </c>
      <c r="AI16" s="1" t="s">
        <v>63</v>
      </c>
      <c r="AJ16" s="1" t="s">
        <v>59</v>
      </c>
      <c r="AK16" s="1" t="s">
        <v>186</v>
      </c>
      <c r="AN16" s="1" t="s">
        <v>187</v>
      </c>
      <c r="AO16" s="1" t="str">
        <f t="shared" si="0"/>
        <v xml:space="preserve">Flange. WN DN250 CL150 RF smooth (3.2-6.3 um) CS ASTM A105N Dims to ASME B16.5 </v>
      </c>
      <c r="AP16" s="1" t="s">
        <v>66</v>
      </c>
      <c r="AV16" t="s">
        <v>188</v>
      </c>
      <c r="BB16" t="s">
        <v>68</v>
      </c>
      <c r="BD16" t="s">
        <v>131</v>
      </c>
      <c r="BH16" t="s">
        <v>189</v>
      </c>
    </row>
    <row r="17" spans="2:60" x14ac:dyDescent="0.25">
      <c r="B17" s="1" t="s">
        <v>108</v>
      </c>
      <c r="C17" s="1" t="s">
        <v>180</v>
      </c>
      <c r="D17" s="1" t="s">
        <v>181</v>
      </c>
      <c r="E17" s="1" t="s">
        <v>108</v>
      </c>
      <c r="F17" t="s">
        <v>121</v>
      </c>
      <c r="G17" t="s">
        <v>216</v>
      </c>
      <c r="H17" s="3" t="s">
        <v>183</v>
      </c>
      <c r="I17" s="1" t="s">
        <v>108</v>
      </c>
      <c r="J17" s="1" t="s">
        <v>59</v>
      </c>
      <c r="K17" s="1" t="s">
        <v>110</v>
      </c>
      <c r="L17" s="1" t="s">
        <v>422</v>
      </c>
      <c r="Q17" s="1" t="s">
        <v>99</v>
      </c>
      <c r="S17" s="1" t="s">
        <v>63</v>
      </c>
      <c r="T17" s="1" t="s">
        <v>63</v>
      </c>
      <c r="U17" s="1" t="s">
        <v>59</v>
      </c>
      <c r="V17" t="s">
        <v>217</v>
      </c>
      <c r="W17" s="3" t="s">
        <v>185</v>
      </c>
      <c r="X17" s="1" t="s">
        <v>108</v>
      </c>
      <c r="Y17" s="1" t="s">
        <v>59</v>
      </c>
      <c r="Z17" s="1" t="s">
        <v>110</v>
      </c>
      <c r="AA17" s="1" t="s">
        <v>61</v>
      </c>
      <c r="AF17" s="1" t="s">
        <v>99</v>
      </c>
      <c r="AH17" s="1" t="s">
        <v>63</v>
      </c>
      <c r="AI17" s="1" t="s">
        <v>63</v>
      </c>
      <c r="AJ17" s="1" t="s">
        <v>59</v>
      </c>
      <c r="AK17" s="1" t="s">
        <v>186</v>
      </c>
      <c r="AN17" s="1" t="s">
        <v>187</v>
      </c>
      <c r="AO17" s="1" t="str">
        <f t="shared" si="0"/>
        <v xml:space="preserve">Flange. WN DN300 CL150 RF smooth (3.2-6.3 um) CS ASTM A105N Dims to ASME B16.5 </v>
      </c>
      <c r="AP17" s="1" t="s">
        <v>66</v>
      </c>
      <c r="AV17" t="s">
        <v>188</v>
      </c>
      <c r="BB17" t="s">
        <v>68</v>
      </c>
      <c r="BD17" t="s">
        <v>131</v>
      </c>
      <c r="BH17" t="s">
        <v>189</v>
      </c>
    </row>
    <row r="18" spans="2:60" x14ac:dyDescent="0.25">
      <c r="B18" s="1" t="s">
        <v>111</v>
      </c>
      <c r="C18" s="1" t="s">
        <v>180</v>
      </c>
      <c r="D18" s="1" t="s">
        <v>181</v>
      </c>
      <c r="E18" s="1" t="s">
        <v>111</v>
      </c>
      <c r="F18" t="s">
        <v>121</v>
      </c>
      <c r="G18" t="s">
        <v>218</v>
      </c>
      <c r="H18" s="3" t="s">
        <v>183</v>
      </c>
      <c r="I18" s="1" t="s">
        <v>111</v>
      </c>
      <c r="J18" s="1" t="s">
        <v>59</v>
      </c>
      <c r="K18" s="1" t="s">
        <v>113</v>
      </c>
      <c r="L18" s="1" t="s">
        <v>422</v>
      </c>
      <c r="Q18" s="1" t="s">
        <v>99</v>
      </c>
      <c r="S18" s="1" t="s">
        <v>63</v>
      </c>
      <c r="T18" s="1" t="s">
        <v>63</v>
      </c>
      <c r="U18" s="1" t="s">
        <v>59</v>
      </c>
      <c r="V18" t="s">
        <v>219</v>
      </c>
      <c r="W18" s="3" t="s">
        <v>185</v>
      </c>
      <c r="X18" s="1" t="s">
        <v>111</v>
      </c>
      <c r="Y18" s="1" t="s">
        <v>59</v>
      </c>
      <c r="Z18" s="1" t="s">
        <v>113</v>
      </c>
      <c r="AA18" s="1" t="s">
        <v>61</v>
      </c>
      <c r="AF18" s="1" t="s">
        <v>99</v>
      </c>
      <c r="AH18" s="1" t="s">
        <v>63</v>
      </c>
      <c r="AI18" s="1" t="s">
        <v>63</v>
      </c>
      <c r="AJ18" s="1" t="s">
        <v>59</v>
      </c>
      <c r="AK18" s="1" t="s">
        <v>186</v>
      </c>
      <c r="AN18" s="1" t="s">
        <v>187</v>
      </c>
      <c r="AO18" s="1" t="str">
        <f t="shared" si="0"/>
        <v xml:space="preserve">Flange. WN DN350 CL150 RF smooth (3.2-6.3 um) CS ASTM A105N Dims to ASME B16.5 </v>
      </c>
      <c r="AP18" s="1" t="s">
        <v>66</v>
      </c>
      <c r="AV18" t="s">
        <v>188</v>
      </c>
      <c r="BB18" t="s">
        <v>68</v>
      </c>
      <c r="BD18" t="s">
        <v>131</v>
      </c>
      <c r="BH18" t="s">
        <v>189</v>
      </c>
    </row>
    <row r="19" spans="2:60" x14ac:dyDescent="0.25">
      <c r="B19" s="1" t="s">
        <v>114</v>
      </c>
      <c r="C19" s="1" t="s">
        <v>180</v>
      </c>
      <c r="D19" s="1" t="s">
        <v>181</v>
      </c>
      <c r="E19" s="1" t="s">
        <v>114</v>
      </c>
      <c r="F19" t="s">
        <v>121</v>
      </c>
      <c r="G19" t="s">
        <v>220</v>
      </c>
      <c r="H19" s="3" t="s">
        <v>183</v>
      </c>
      <c r="I19" s="1" t="s">
        <v>114</v>
      </c>
      <c r="J19" s="1" t="s">
        <v>59</v>
      </c>
      <c r="K19" s="1" t="s">
        <v>116</v>
      </c>
      <c r="L19" s="1" t="s">
        <v>422</v>
      </c>
      <c r="Q19" s="1" t="s">
        <v>99</v>
      </c>
      <c r="S19" s="1" t="s">
        <v>63</v>
      </c>
      <c r="T19" s="1" t="s">
        <v>63</v>
      </c>
      <c r="U19" s="1" t="s">
        <v>59</v>
      </c>
      <c r="V19" t="s">
        <v>221</v>
      </c>
      <c r="W19" s="3" t="s">
        <v>185</v>
      </c>
      <c r="X19" s="1" t="s">
        <v>114</v>
      </c>
      <c r="Y19" s="1" t="s">
        <v>59</v>
      </c>
      <c r="Z19" s="1" t="s">
        <v>116</v>
      </c>
      <c r="AA19" s="1" t="s">
        <v>61</v>
      </c>
      <c r="AF19" s="1" t="s">
        <v>99</v>
      </c>
      <c r="AH19" s="1" t="s">
        <v>63</v>
      </c>
      <c r="AI19" s="1" t="s">
        <v>63</v>
      </c>
      <c r="AJ19" s="1" t="s">
        <v>59</v>
      </c>
      <c r="AK19" s="1" t="s">
        <v>186</v>
      </c>
      <c r="AN19" s="1" t="s">
        <v>187</v>
      </c>
      <c r="AO19" s="1" t="str">
        <f t="shared" si="0"/>
        <v xml:space="preserve">Flange. WN DN400 CL150 RF smooth (3.2-6.3 um) CS ASTM A105N Dims to ASME B16.5 </v>
      </c>
      <c r="AP19" s="1" t="s">
        <v>66</v>
      </c>
      <c r="AV19" t="s">
        <v>188</v>
      </c>
      <c r="BB19" t="s">
        <v>68</v>
      </c>
      <c r="BD19" t="s">
        <v>131</v>
      </c>
      <c r="BH19" t="s">
        <v>189</v>
      </c>
    </row>
    <row r="20" spans="2:60" x14ac:dyDescent="0.25">
      <c r="B20" s="1" t="s">
        <v>117</v>
      </c>
      <c r="C20" s="1" t="s">
        <v>180</v>
      </c>
      <c r="D20" s="1" t="s">
        <v>181</v>
      </c>
      <c r="E20" s="1" t="s">
        <v>117</v>
      </c>
      <c r="F20" t="s">
        <v>121</v>
      </c>
      <c r="G20" t="s">
        <v>222</v>
      </c>
      <c r="H20" s="3" t="s">
        <v>183</v>
      </c>
      <c r="I20" s="1" t="s">
        <v>117</v>
      </c>
      <c r="J20" s="1" t="s">
        <v>59</v>
      </c>
      <c r="K20" s="1" t="s">
        <v>119</v>
      </c>
      <c r="L20" s="1" t="s">
        <v>422</v>
      </c>
      <c r="Q20" s="1" t="s">
        <v>99</v>
      </c>
      <c r="S20" s="1" t="s">
        <v>63</v>
      </c>
      <c r="T20" s="1" t="s">
        <v>63</v>
      </c>
      <c r="U20" s="1" t="s">
        <v>59</v>
      </c>
      <c r="V20" t="s">
        <v>223</v>
      </c>
      <c r="W20" s="3" t="s">
        <v>185</v>
      </c>
      <c r="X20" s="1" t="s">
        <v>117</v>
      </c>
      <c r="Y20" s="1" t="s">
        <v>59</v>
      </c>
      <c r="Z20" s="1" t="s">
        <v>119</v>
      </c>
      <c r="AA20" s="1" t="s">
        <v>61</v>
      </c>
      <c r="AF20" s="1" t="s">
        <v>99</v>
      </c>
      <c r="AH20" s="1" t="s">
        <v>63</v>
      </c>
      <c r="AI20" s="1" t="s">
        <v>63</v>
      </c>
      <c r="AJ20" s="1" t="s">
        <v>59</v>
      </c>
      <c r="AK20" s="1" t="s">
        <v>186</v>
      </c>
      <c r="AN20" s="1" t="s">
        <v>187</v>
      </c>
      <c r="AO20" s="1" t="str">
        <f t="shared" si="0"/>
        <v xml:space="preserve">Flange. WN DN450 CL150 RF smooth (3.2-6.3 um) CS ASTM A105N Dims to ASME B16.5 </v>
      </c>
      <c r="AP20" s="1" t="s">
        <v>66</v>
      </c>
      <c r="AV20" t="s">
        <v>188</v>
      </c>
      <c r="BB20" t="s">
        <v>68</v>
      </c>
      <c r="BD20" t="s">
        <v>131</v>
      </c>
      <c r="BH20" t="s">
        <v>189</v>
      </c>
    </row>
  </sheetData>
  <sheetProtection sheet="1" objects="1" formatCells="0" formatColumns="0" insertColumns="0" deleteColumns="0"/>
  <dataValidations count="2">
    <dataValidation type="list" allowBlank="1" showInputMessage="1" showErrorMessage="1" sqref="AS3:AS20" xr:uid="{00000000-0002-0000-0200-000000000000}">
      <formula1>"LB,KG"</formula1>
    </dataValidation>
    <dataValidation type="decimal" allowBlank="1" showInputMessage="1" showErrorMessage="1" sqref="BB3:BB20 AX3:AX20 AR3:AR20 AH3:AI20 AE3:AE20 Z3:Z20 X3:X20 S3:T20 P3:P20 K3:K20 I3:I20" xr:uid="{00000000-0002-0000-02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20"/>
  <sheetViews>
    <sheetView topLeftCell="AJ2" workbookViewId="0">
      <selection activeCell="AP4" sqref="AP4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0.140625" style="1" bestFit="1" customWidth="1"/>
    <col min="4" max="4" width="108.42578125" style="1" bestFit="1" customWidth="1"/>
    <col min="5" max="5" width="3.7109375" style="1" bestFit="1" customWidth="1"/>
    <col min="6" max="6" width="6.5703125" style="1" bestFit="1" customWidth="1"/>
    <col min="7" max="7" width="32.42578125" bestFit="1" customWidth="1"/>
    <col min="8" max="8" width="37.5703125" bestFit="1" customWidth="1"/>
    <col min="9" max="9" width="13.140625" style="1" bestFit="1" customWidth="1"/>
    <col min="10" max="10" width="20.140625" style="1" bestFit="1" customWidth="1"/>
    <col min="11" max="11" width="15.5703125" style="1" bestFit="1" customWidth="1"/>
    <col min="12" max="12" width="19.140625" style="1" bestFit="1" customWidth="1"/>
    <col min="13" max="13" width="11.5703125" style="1" bestFit="1" customWidth="1"/>
    <col min="14" max="14" width="12.7109375" style="1" bestFit="1" customWidth="1"/>
    <col min="15" max="15" width="13.140625" style="1" bestFit="1" customWidth="1"/>
    <col min="16" max="16" width="9.5703125" style="1" bestFit="1" customWidth="1"/>
    <col min="17" max="17" width="18.7109375" style="1" bestFit="1" customWidth="1"/>
    <col min="18" max="18" width="16.28515625" style="1" bestFit="1" customWidth="1"/>
    <col min="19" max="19" width="12.140625" style="1" bestFit="1" customWidth="1"/>
    <col min="20" max="20" width="16.85546875" style="1" bestFit="1" customWidth="1"/>
    <col min="21" max="21" width="21.42578125" style="1" bestFit="1" customWidth="1"/>
    <col min="22" max="22" width="14" style="1" bestFit="1" customWidth="1"/>
    <col min="23" max="23" width="38.140625" bestFit="1" customWidth="1"/>
    <col min="24" max="24" width="13.140625" style="1" bestFit="1" customWidth="1"/>
    <col min="25" max="25" width="20.140625" style="1" bestFit="1" customWidth="1"/>
    <col min="26" max="26" width="15.5703125" style="1" bestFit="1" customWidth="1"/>
    <col min="27" max="27" width="19.140625" style="1" bestFit="1" customWidth="1"/>
    <col min="28" max="28" width="11.5703125" style="1" bestFit="1" customWidth="1"/>
    <col min="29" max="29" width="12.7109375" style="1" bestFit="1" customWidth="1"/>
    <col min="30" max="30" width="13.140625" style="1" bestFit="1" customWidth="1"/>
    <col min="31" max="31" width="9.5703125" style="1" bestFit="1" customWidth="1"/>
    <col min="32" max="32" width="18.7109375" style="1" bestFit="1" customWidth="1"/>
    <col min="33" max="33" width="16.28515625" style="1" bestFit="1" customWidth="1"/>
    <col min="34" max="34" width="12.140625" style="1" bestFit="1" customWidth="1"/>
    <col min="35" max="35" width="16.85546875" style="1" bestFit="1" customWidth="1"/>
    <col min="36" max="36" width="21.42578125" style="1" bestFit="1" customWidth="1"/>
    <col min="37" max="37" width="14" style="1" bestFit="1" customWidth="1"/>
    <col min="38" max="38" width="16" style="1" bestFit="1" customWidth="1"/>
    <col min="39" max="39" width="19.42578125" style="1" bestFit="1" customWidth="1"/>
    <col min="40" max="40" width="9.85546875" style="1" bestFit="1" customWidth="1"/>
    <col min="41" max="41" width="78.42578125" style="1" bestFit="1" customWidth="1"/>
    <col min="42" max="42" width="83.85546875" style="1" bestFit="1" customWidth="1"/>
    <col min="43" max="43" width="8.5703125" style="1" bestFit="1" customWidth="1"/>
    <col min="44" max="44" width="13.28515625" style="1" bestFit="1" customWidth="1"/>
    <col min="45" max="45" width="7.5703125" style="1" bestFit="1" customWidth="1"/>
    <col min="46" max="46" width="11.42578125" style="1" bestFit="1" customWidth="1"/>
    <col min="47" max="48" width="5.28515625" style="1" bestFit="1" customWidth="1"/>
    <col min="49" max="49" width="36.7109375" bestFit="1" customWidth="1"/>
    <col min="50" max="50" width="19" bestFit="1" customWidth="1"/>
    <col min="51" max="51" width="10" bestFit="1" customWidth="1"/>
    <col min="52" max="52" width="13.28515625" style="1" bestFit="1" customWidth="1"/>
    <col min="53" max="53" width="9.7109375" style="1" bestFit="1" customWidth="1"/>
    <col min="54" max="54" width="20.42578125" style="1" bestFit="1" customWidth="1"/>
    <col min="55" max="55" width="20.42578125" bestFit="1" customWidth="1"/>
    <col min="56" max="56" width="22.42578125" style="1" bestFit="1" customWidth="1"/>
    <col min="57" max="57" width="12.42578125" bestFit="1" customWidth="1"/>
    <col min="58" max="58" width="26.85546875" bestFit="1" customWidth="1"/>
    <col min="59" max="59" width="11.42578125" bestFit="1" customWidth="1"/>
    <col min="60" max="60" width="6.42578125" style="1" bestFit="1" customWidth="1"/>
    <col min="61" max="61" width="14.28515625" bestFit="1" customWidth="1"/>
    <col min="62" max="62" width="22.7109375" bestFit="1" customWidth="1"/>
    <col min="63" max="63" width="9.140625" customWidth="1"/>
  </cols>
  <sheetData>
    <row r="1" spans="1:62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s="1" t="s">
        <v>224</v>
      </c>
      <c r="G1" t="s">
        <v>6</v>
      </c>
      <c r="H1" t="s">
        <v>150</v>
      </c>
      <c r="I1" s="3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t="s">
        <v>165</v>
      </c>
      <c r="X1" s="3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173</v>
      </c>
      <c r="AF1" s="1" t="s">
        <v>174</v>
      </c>
      <c r="AG1" s="1" t="s">
        <v>175</v>
      </c>
      <c r="AH1" s="1" t="s">
        <v>176</v>
      </c>
      <c r="AI1" s="1" t="s">
        <v>177</v>
      </c>
      <c r="AJ1" s="1" t="s">
        <v>178</v>
      </c>
      <c r="AK1" s="1" t="s">
        <v>179</v>
      </c>
      <c r="AL1" s="1" t="s">
        <v>22</v>
      </c>
      <c r="AM1" s="1" t="s">
        <v>23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30</v>
      </c>
      <c r="AU1" s="1" t="s">
        <v>31</v>
      </c>
      <c r="AV1" s="1" t="s">
        <v>32</v>
      </c>
      <c r="AW1" t="s">
        <v>33</v>
      </c>
      <c r="AX1" t="s">
        <v>34</v>
      </c>
      <c r="AY1" t="s">
        <v>35</v>
      </c>
      <c r="AZ1" s="1" t="s">
        <v>36</v>
      </c>
      <c r="BA1" s="1" t="s">
        <v>37</v>
      </c>
      <c r="BB1" s="1" t="s">
        <v>38</v>
      </c>
      <c r="BC1" t="s">
        <v>39</v>
      </c>
      <c r="BD1" s="1" t="s">
        <v>40</v>
      </c>
      <c r="BE1" t="s">
        <v>41</v>
      </c>
      <c r="BF1" t="s">
        <v>42</v>
      </c>
      <c r="BG1" t="s">
        <v>43</v>
      </c>
      <c r="BH1" s="1" t="s">
        <v>44</v>
      </c>
      <c r="BI1" t="s">
        <v>50</v>
      </c>
      <c r="BJ1" t="s">
        <v>51</v>
      </c>
    </row>
    <row r="2" spans="1:62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224</v>
      </c>
      <c r="G2" s="2" t="s">
        <v>6</v>
      </c>
      <c r="H2" s="2" t="s">
        <v>150</v>
      </c>
      <c r="I2" s="4" t="s">
        <v>151</v>
      </c>
      <c r="J2" s="2" t="s">
        <v>152</v>
      </c>
      <c r="K2" s="2" t="s">
        <v>153</v>
      </c>
      <c r="L2" s="2" t="s">
        <v>154</v>
      </c>
      <c r="M2" s="2" t="s">
        <v>155</v>
      </c>
      <c r="N2" s="2" t="s">
        <v>156</v>
      </c>
      <c r="O2" s="2" t="s">
        <v>157</v>
      </c>
      <c r="P2" s="2" t="s">
        <v>158</v>
      </c>
      <c r="Q2" s="2" t="s">
        <v>159</v>
      </c>
      <c r="R2" s="2" t="s">
        <v>160</v>
      </c>
      <c r="S2" s="2" t="s">
        <v>161</v>
      </c>
      <c r="T2" s="2" t="s">
        <v>162</v>
      </c>
      <c r="U2" s="2" t="s">
        <v>163</v>
      </c>
      <c r="V2" s="2" t="s">
        <v>164</v>
      </c>
      <c r="W2" s="2" t="s">
        <v>165</v>
      </c>
      <c r="X2" s="4" t="s">
        <v>166</v>
      </c>
      <c r="Y2" s="2" t="s">
        <v>167</v>
      </c>
      <c r="Z2" s="2" t="s">
        <v>168</v>
      </c>
      <c r="AA2" s="2" t="s">
        <v>169</v>
      </c>
      <c r="AB2" s="2" t="s">
        <v>170</v>
      </c>
      <c r="AC2" s="2" t="s">
        <v>171</v>
      </c>
      <c r="AD2" s="2" t="s">
        <v>172</v>
      </c>
      <c r="AE2" s="2" t="s">
        <v>173</v>
      </c>
      <c r="AF2" s="2" t="s">
        <v>174</v>
      </c>
      <c r="AG2" s="2" t="s">
        <v>175</v>
      </c>
      <c r="AH2" s="2" t="s">
        <v>176</v>
      </c>
      <c r="AI2" s="2" t="s">
        <v>177</v>
      </c>
      <c r="AJ2" s="2" t="s">
        <v>178</v>
      </c>
      <c r="AK2" s="2" t="s">
        <v>179</v>
      </c>
      <c r="AL2" s="2" t="s">
        <v>22</v>
      </c>
      <c r="AM2" s="2" t="s">
        <v>23</v>
      </c>
      <c r="AN2" s="2" t="s">
        <v>24</v>
      </c>
      <c r="AO2" s="2" t="s">
        <v>25</v>
      </c>
      <c r="AP2" s="2" t="s">
        <v>26</v>
      </c>
      <c r="AQ2" s="2" t="s">
        <v>27</v>
      </c>
      <c r="AR2" s="2" t="s">
        <v>28</v>
      </c>
      <c r="AS2" s="2" t="s">
        <v>29</v>
      </c>
      <c r="AT2" s="2" t="s">
        <v>30</v>
      </c>
      <c r="AU2" s="2" t="s">
        <v>31</v>
      </c>
      <c r="AV2" s="2" t="s">
        <v>32</v>
      </c>
      <c r="AW2" s="2" t="s">
        <v>33</v>
      </c>
      <c r="AX2" s="2" t="s">
        <v>34</v>
      </c>
      <c r="AY2" s="2" t="s">
        <v>35</v>
      </c>
      <c r="AZ2" s="2" t="s">
        <v>36</v>
      </c>
      <c r="BA2" s="2" t="s">
        <v>37</v>
      </c>
      <c r="BB2" s="2" t="s">
        <v>38</v>
      </c>
      <c r="BC2" s="2" t="s">
        <v>39</v>
      </c>
      <c r="BD2" s="2" t="s">
        <v>40</v>
      </c>
      <c r="BE2" s="2" t="s">
        <v>41</v>
      </c>
      <c r="BF2" s="2" t="s">
        <v>42</v>
      </c>
      <c r="BG2" s="2" t="s">
        <v>43</v>
      </c>
      <c r="BH2" s="2" t="s">
        <v>44</v>
      </c>
      <c r="BI2" s="2" t="s">
        <v>50</v>
      </c>
      <c r="BJ2" s="2" t="s">
        <v>51</v>
      </c>
    </row>
    <row r="3" spans="1:62" x14ac:dyDescent="0.25">
      <c r="B3" s="1" t="s">
        <v>54</v>
      </c>
      <c r="C3" s="1" t="s">
        <v>225</v>
      </c>
      <c r="D3" s="1" t="s">
        <v>226</v>
      </c>
      <c r="E3" s="1" t="s">
        <v>54</v>
      </c>
      <c r="F3" s="6">
        <v>10.27</v>
      </c>
      <c r="G3" t="s">
        <v>227</v>
      </c>
      <c r="H3" t="s">
        <v>228</v>
      </c>
      <c r="I3" s="3" t="s">
        <v>183</v>
      </c>
      <c r="J3" s="1" t="s">
        <v>54</v>
      </c>
      <c r="K3" s="1" t="s">
        <v>59</v>
      </c>
      <c r="L3" s="1" t="s">
        <v>60</v>
      </c>
      <c r="M3" s="1" t="s">
        <v>422</v>
      </c>
      <c r="R3" s="1" t="s">
        <v>99</v>
      </c>
      <c r="T3" s="1" t="s">
        <v>63</v>
      </c>
      <c r="U3" s="1" t="s">
        <v>63</v>
      </c>
      <c r="V3" s="1" t="s">
        <v>59</v>
      </c>
      <c r="W3" t="s">
        <v>229</v>
      </c>
      <c r="X3" s="3" t="s">
        <v>185</v>
      </c>
      <c r="Y3" s="1" t="s">
        <v>54</v>
      </c>
      <c r="Z3" s="1" t="s">
        <v>59</v>
      </c>
      <c r="AA3" s="1" t="s">
        <v>60</v>
      </c>
      <c r="AB3" s="1" t="s">
        <v>230</v>
      </c>
      <c r="AI3" s="1" t="s">
        <v>63</v>
      </c>
      <c r="AJ3" s="1" t="s">
        <v>63</v>
      </c>
      <c r="AK3" s="1" t="s">
        <v>59</v>
      </c>
      <c r="AL3" s="1" t="s">
        <v>231</v>
      </c>
      <c r="AO3" s="1" t="s">
        <v>232</v>
      </c>
      <c r="AP3" s="1" t="str">
        <f>REPLACE(AO3, 16, 0, " DN" &amp; E3)</f>
        <v>Flange. Slip-on DN15 Hub CL150 RF smooth (3.2-6.3 um) CS ASTM A105N Dims to ASME B16.5</v>
      </c>
      <c r="AQ3" s="1" t="s">
        <v>66</v>
      </c>
      <c r="AW3" t="s">
        <v>233</v>
      </c>
      <c r="BC3" t="s">
        <v>68</v>
      </c>
      <c r="BE3" t="s">
        <v>131</v>
      </c>
      <c r="BI3" t="s">
        <v>189</v>
      </c>
    </row>
    <row r="4" spans="1:62" x14ac:dyDescent="0.25">
      <c r="B4" s="1" t="s">
        <v>71</v>
      </c>
      <c r="C4" s="1" t="s">
        <v>225</v>
      </c>
      <c r="D4" s="1" t="s">
        <v>226</v>
      </c>
      <c r="E4" s="1" t="s">
        <v>71</v>
      </c>
      <c r="F4" s="6">
        <v>10.09</v>
      </c>
      <c r="G4" t="s">
        <v>227</v>
      </c>
      <c r="H4" t="s">
        <v>234</v>
      </c>
      <c r="I4" s="3" t="s">
        <v>183</v>
      </c>
      <c r="J4" s="1" t="s">
        <v>71</v>
      </c>
      <c r="K4" s="1" t="s">
        <v>59</v>
      </c>
      <c r="L4" s="1" t="s">
        <v>73</v>
      </c>
      <c r="M4" s="1" t="s">
        <v>422</v>
      </c>
      <c r="R4" s="1" t="s">
        <v>99</v>
      </c>
      <c r="T4" s="1" t="s">
        <v>63</v>
      </c>
      <c r="U4" s="1" t="s">
        <v>63</v>
      </c>
      <c r="V4" s="1" t="s">
        <v>59</v>
      </c>
      <c r="W4" t="s">
        <v>235</v>
      </c>
      <c r="X4" s="3" t="s">
        <v>185</v>
      </c>
      <c r="Y4" s="1" t="s">
        <v>71</v>
      </c>
      <c r="Z4" s="1" t="s">
        <v>59</v>
      </c>
      <c r="AA4" s="1" t="s">
        <v>73</v>
      </c>
      <c r="AB4" s="1" t="s">
        <v>230</v>
      </c>
      <c r="AI4" s="1" t="s">
        <v>63</v>
      </c>
      <c r="AJ4" s="1" t="s">
        <v>63</v>
      </c>
      <c r="AK4" s="1" t="s">
        <v>59</v>
      </c>
      <c r="AL4" s="1" t="s">
        <v>231</v>
      </c>
      <c r="AO4" s="1" t="s">
        <v>232</v>
      </c>
      <c r="AP4" s="1" t="str">
        <f t="shared" ref="AP4:AP20" si="0">REPLACE(AO4, 16, 0, " DN" &amp; E4)</f>
        <v>Flange. Slip-on DN20 Hub CL150 RF smooth (3.2-6.3 um) CS ASTM A105N Dims to ASME B16.5</v>
      </c>
      <c r="AQ4" s="1" t="s">
        <v>66</v>
      </c>
      <c r="AW4" t="s">
        <v>233</v>
      </c>
      <c r="BC4" t="s">
        <v>68</v>
      </c>
      <c r="BE4" t="s">
        <v>131</v>
      </c>
      <c r="BI4" t="s">
        <v>189</v>
      </c>
    </row>
    <row r="5" spans="1:62" x14ac:dyDescent="0.25">
      <c r="B5" s="1" t="s">
        <v>74</v>
      </c>
      <c r="C5" s="1" t="s">
        <v>225</v>
      </c>
      <c r="D5" s="1" t="s">
        <v>226</v>
      </c>
      <c r="E5" s="1" t="s">
        <v>74</v>
      </c>
      <c r="F5" s="6">
        <v>11.45</v>
      </c>
      <c r="G5" t="s">
        <v>227</v>
      </c>
      <c r="H5" t="s">
        <v>236</v>
      </c>
      <c r="I5" s="3" t="s">
        <v>183</v>
      </c>
      <c r="J5" s="1" t="s">
        <v>74</v>
      </c>
      <c r="K5" s="1" t="s">
        <v>59</v>
      </c>
      <c r="L5" s="1" t="s">
        <v>76</v>
      </c>
      <c r="M5" s="1" t="s">
        <v>422</v>
      </c>
      <c r="R5" s="1" t="s">
        <v>99</v>
      </c>
      <c r="T5" s="1" t="s">
        <v>63</v>
      </c>
      <c r="U5" s="1" t="s">
        <v>63</v>
      </c>
      <c r="V5" s="1" t="s">
        <v>59</v>
      </c>
      <c r="W5" t="s">
        <v>237</v>
      </c>
      <c r="X5" s="3" t="s">
        <v>185</v>
      </c>
      <c r="Y5" s="1" t="s">
        <v>74</v>
      </c>
      <c r="Z5" s="1" t="s">
        <v>59</v>
      </c>
      <c r="AA5" s="1" t="s">
        <v>76</v>
      </c>
      <c r="AB5" s="1" t="s">
        <v>230</v>
      </c>
      <c r="AI5" s="1" t="s">
        <v>63</v>
      </c>
      <c r="AJ5" s="1" t="s">
        <v>63</v>
      </c>
      <c r="AK5" s="1" t="s">
        <v>59</v>
      </c>
      <c r="AL5" s="1" t="s">
        <v>231</v>
      </c>
      <c r="AO5" s="1" t="s">
        <v>232</v>
      </c>
      <c r="AP5" s="1" t="str">
        <f t="shared" si="0"/>
        <v>Flange. Slip-on DN25 Hub CL150 RF smooth (3.2-6.3 um) CS ASTM A105N Dims to ASME B16.5</v>
      </c>
      <c r="AQ5" s="1" t="s">
        <v>66</v>
      </c>
      <c r="AW5" t="s">
        <v>233</v>
      </c>
      <c r="BC5" t="s">
        <v>68</v>
      </c>
      <c r="BE5" t="s">
        <v>131</v>
      </c>
      <c r="BI5" t="s">
        <v>189</v>
      </c>
    </row>
    <row r="6" spans="1:62" x14ac:dyDescent="0.25">
      <c r="B6" s="1" t="s">
        <v>77</v>
      </c>
      <c r="C6" s="1" t="s">
        <v>225</v>
      </c>
      <c r="D6" s="1" t="s">
        <v>226</v>
      </c>
      <c r="E6" s="1" t="s">
        <v>77</v>
      </c>
      <c r="F6" s="6">
        <v>14.15</v>
      </c>
      <c r="G6" t="s">
        <v>227</v>
      </c>
      <c r="H6" t="s">
        <v>238</v>
      </c>
      <c r="I6" s="3" t="s">
        <v>183</v>
      </c>
      <c r="J6" s="1" t="s">
        <v>77</v>
      </c>
      <c r="K6" s="1" t="s">
        <v>59</v>
      </c>
      <c r="L6" s="1" t="s">
        <v>79</v>
      </c>
      <c r="M6" s="1" t="s">
        <v>422</v>
      </c>
      <c r="R6" s="1" t="s">
        <v>99</v>
      </c>
      <c r="T6" s="1" t="s">
        <v>63</v>
      </c>
      <c r="U6" s="1" t="s">
        <v>63</v>
      </c>
      <c r="V6" s="1" t="s">
        <v>59</v>
      </c>
      <c r="W6" t="s">
        <v>239</v>
      </c>
      <c r="X6" s="3" t="s">
        <v>185</v>
      </c>
      <c r="Y6" s="1" t="s">
        <v>77</v>
      </c>
      <c r="Z6" s="1" t="s">
        <v>59</v>
      </c>
      <c r="AA6" s="1" t="s">
        <v>79</v>
      </c>
      <c r="AB6" s="1" t="s">
        <v>230</v>
      </c>
      <c r="AI6" s="1" t="s">
        <v>63</v>
      </c>
      <c r="AJ6" s="1" t="s">
        <v>63</v>
      </c>
      <c r="AK6" s="1" t="s">
        <v>59</v>
      </c>
      <c r="AL6" s="1" t="s">
        <v>231</v>
      </c>
      <c r="AO6" s="1" t="s">
        <v>232</v>
      </c>
      <c r="AP6" s="1" t="str">
        <f t="shared" si="0"/>
        <v>Flange. Slip-on DN32 Hub CL150 RF smooth (3.2-6.3 um) CS ASTM A105N Dims to ASME B16.5</v>
      </c>
      <c r="AQ6" s="1" t="s">
        <v>66</v>
      </c>
      <c r="AW6" t="s">
        <v>233</v>
      </c>
      <c r="BC6" t="s">
        <v>68</v>
      </c>
      <c r="BE6" t="s">
        <v>131</v>
      </c>
      <c r="BI6" t="s">
        <v>189</v>
      </c>
    </row>
    <row r="7" spans="1:62" x14ac:dyDescent="0.25">
      <c r="B7" s="1" t="s">
        <v>62</v>
      </c>
      <c r="C7" s="1" t="s">
        <v>225</v>
      </c>
      <c r="D7" s="1" t="s">
        <v>226</v>
      </c>
      <c r="E7" s="1" t="s">
        <v>62</v>
      </c>
      <c r="F7" s="6">
        <v>15.92</v>
      </c>
      <c r="G7" t="s">
        <v>227</v>
      </c>
      <c r="H7" t="s">
        <v>240</v>
      </c>
      <c r="I7" s="3" t="s">
        <v>183</v>
      </c>
      <c r="J7" s="1" t="s">
        <v>62</v>
      </c>
      <c r="K7" s="1" t="s">
        <v>59</v>
      </c>
      <c r="L7" s="1" t="s">
        <v>82</v>
      </c>
      <c r="M7" s="1" t="s">
        <v>422</v>
      </c>
      <c r="R7" s="1" t="s">
        <v>99</v>
      </c>
      <c r="T7" s="1" t="s">
        <v>63</v>
      </c>
      <c r="U7" s="1" t="s">
        <v>63</v>
      </c>
      <c r="V7" s="1" t="s">
        <v>59</v>
      </c>
      <c r="W7" t="s">
        <v>241</v>
      </c>
      <c r="X7" s="3" t="s">
        <v>185</v>
      </c>
      <c r="Y7" s="1" t="s">
        <v>62</v>
      </c>
      <c r="Z7" s="1" t="s">
        <v>59</v>
      </c>
      <c r="AA7" s="1" t="s">
        <v>82</v>
      </c>
      <c r="AB7" s="1" t="s">
        <v>230</v>
      </c>
      <c r="AI7" s="1" t="s">
        <v>63</v>
      </c>
      <c r="AJ7" s="1" t="s">
        <v>63</v>
      </c>
      <c r="AK7" s="1" t="s">
        <v>59</v>
      </c>
      <c r="AL7" s="1" t="s">
        <v>231</v>
      </c>
      <c r="AO7" s="1" t="s">
        <v>232</v>
      </c>
      <c r="AP7" s="1" t="str">
        <f t="shared" si="0"/>
        <v>Flange. Slip-on DN40 Hub CL150 RF smooth (3.2-6.3 um) CS ASTM A105N Dims to ASME B16.5</v>
      </c>
      <c r="AQ7" s="1" t="s">
        <v>66</v>
      </c>
      <c r="AW7" t="s">
        <v>233</v>
      </c>
      <c r="BC7" t="s">
        <v>68</v>
      </c>
      <c r="BE7" t="s">
        <v>131</v>
      </c>
      <c r="BI7" t="s">
        <v>189</v>
      </c>
    </row>
    <row r="8" spans="1:62" x14ac:dyDescent="0.25">
      <c r="B8" s="1" t="s">
        <v>83</v>
      </c>
      <c r="C8" s="1" t="s">
        <v>225</v>
      </c>
      <c r="D8" s="1" t="s">
        <v>226</v>
      </c>
      <c r="E8" s="1" t="s">
        <v>83</v>
      </c>
      <c r="F8" s="6">
        <v>20.09</v>
      </c>
      <c r="G8" t="s">
        <v>227</v>
      </c>
      <c r="H8" t="s">
        <v>242</v>
      </c>
      <c r="I8" s="3" t="s">
        <v>183</v>
      </c>
      <c r="J8" s="1" t="s">
        <v>83</v>
      </c>
      <c r="K8" s="1" t="s">
        <v>59</v>
      </c>
      <c r="L8" s="1" t="s">
        <v>85</v>
      </c>
      <c r="M8" s="1" t="s">
        <v>422</v>
      </c>
      <c r="R8" s="1" t="s">
        <v>99</v>
      </c>
      <c r="T8" s="1" t="s">
        <v>63</v>
      </c>
      <c r="U8" s="1" t="s">
        <v>63</v>
      </c>
      <c r="V8" s="1" t="s">
        <v>59</v>
      </c>
      <c r="W8" t="s">
        <v>243</v>
      </c>
      <c r="X8" s="3" t="s">
        <v>185</v>
      </c>
      <c r="Y8" s="1" t="s">
        <v>83</v>
      </c>
      <c r="Z8" s="1" t="s">
        <v>59</v>
      </c>
      <c r="AA8" s="1" t="s">
        <v>85</v>
      </c>
      <c r="AB8" s="1" t="s">
        <v>230</v>
      </c>
      <c r="AI8" s="1" t="s">
        <v>63</v>
      </c>
      <c r="AJ8" s="1" t="s">
        <v>63</v>
      </c>
      <c r="AK8" s="1" t="s">
        <v>59</v>
      </c>
      <c r="AL8" s="1" t="s">
        <v>231</v>
      </c>
      <c r="AO8" s="1" t="s">
        <v>232</v>
      </c>
      <c r="AP8" s="1" t="str">
        <f t="shared" si="0"/>
        <v>Flange. Slip-on DN50 Hub CL150 RF smooth (3.2-6.3 um) CS ASTM A105N Dims to ASME B16.5</v>
      </c>
      <c r="AQ8" s="1" t="s">
        <v>66</v>
      </c>
      <c r="AW8" t="s">
        <v>233</v>
      </c>
      <c r="BC8" t="s">
        <v>68</v>
      </c>
      <c r="BE8" t="s">
        <v>131</v>
      </c>
      <c r="BI8" t="s">
        <v>189</v>
      </c>
    </row>
    <row r="9" spans="1:62" x14ac:dyDescent="0.25">
      <c r="B9" s="1" t="s">
        <v>86</v>
      </c>
      <c r="C9" s="1" t="s">
        <v>225</v>
      </c>
      <c r="D9" s="1" t="s">
        <v>226</v>
      </c>
      <c r="E9" s="1" t="s">
        <v>86</v>
      </c>
      <c r="F9" s="6">
        <v>22.22</v>
      </c>
      <c r="G9" t="s">
        <v>227</v>
      </c>
      <c r="H9" t="s">
        <v>244</v>
      </c>
      <c r="I9" s="3" t="s">
        <v>183</v>
      </c>
      <c r="J9" s="1" t="s">
        <v>86</v>
      </c>
      <c r="K9" s="1" t="s">
        <v>59</v>
      </c>
      <c r="L9" s="1" t="s">
        <v>88</v>
      </c>
      <c r="M9" s="1" t="s">
        <v>422</v>
      </c>
      <c r="R9" s="1" t="s">
        <v>99</v>
      </c>
      <c r="T9" s="1" t="s">
        <v>63</v>
      </c>
      <c r="U9" s="1" t="s">
        <v>63</v>
      </c>
      <c r="V9" s="1" t="s">
        <v>59</v>
      </c>
      <c r="W9" t="s">
        <v>245</v>
      </c>
      <c r="X9" s="3" t="s">
        <v>185</v>
      </c>
      <c r="Y9" s="1" t="s">
        <v>86</v>
      </c>
      <c r="Z9" s="1" t="s">
        <v>59</v>
      </c>
      <c r="AA9" s="1" t="s">
        <v>88</v>
      </c>
      <c r="AB9" s="1" t="s">
        <v>230</v>
      </c>
      <c r="AI9" s="1" t="s">
        <v>63</v>
      </c>
      <c r="AJ9" s="1" t="s">
        <v>63</v>
      </c>
      <c r="AK9" s="1" t="s">
        <v>59</v>
      </c>
      <c r="AL9" s="1" t="s">
        <v>231</v>
      </c>
      <c r="AO9" s="1" t="s">
        <v>232</v>
      </c>
      <c r="AP9" s="1" t="str">
        <f t="shared" si="0"/>
        <v>Flange. Slip-on DN65 Hub CL150 RF smooth (3.2-6.3 um) CS ASTM A105N Dims to ASME B16.5</v>
      </c>
      <c r="AQ9" s="1" t="s">
        <v>66</v>
      </c>
      <c r="AW9" t="s">
        <v>233</v>
      </c>
      <c r="BC9" t="s">
        <v>68</v>
      </c>
      <c r="BE9" t="s">
        <v>131</v>
      </c>
      <c r="BI9" t="s">
        <v>189</v>
      </c>
    </row>
    <row r="10" spans="1:62" x14ac:dyDescent="0.25">
      <c r="B10" s="1" t="s">
        <v>89</v>
      </c>
      <c r="C10" s="1" t="s">
        <v>225</v>
      </c>
      <c r="D10" s="1" t="s">
        <v>226</v>
      </c>
      <c r="E10" s="1" t="s">
        <v>89</v>
      </c>
      <c r="F10" s="6">
        <v>23.51</v>
      </c>
      <c r="G10" t="s">
        <v>227</v>
      </c>
      <c r="H10" t="s">
        <v>246</v>
      </c>
      <c r="I10" s="3" t="s">
        <v>183</v>
      </c>
      <c r="J10" s="1" t="s">
        <v>89</v>
      </c>
      <c r="K10" s="1" t="s">
        <v>59</v>
      </c>
      <c r="L10" s="1" t="s">
        <v>91</v>
      </c>
      <c r="M10" s="1" t="s">
        <v>422</v>
      </c>
      <c r="R10" s="1" t="s">
        <v>99</v>
      </c>
      <c r="T10" s="1" t="s">
        <v>63</v>
      </c>
      <c r="U10" s="1" t="s">
        <v>63</v>
      </c>
      <c r="V10" s="1" t="s">
        <v>59</v>
      </c>
      <c r="W10" t="s">
        <v>247</v>
      </c>
      <c r="X10" s="3" t="s">
        <v>185</v>
      </c>
      <c r="Y10" s="1" t="s">
        <v>89</v>
      </c>
      <c r="Z10" s="1" t="s">
        <v>59</v>
      </c>
      <c r="AA10" s="1" t="s">
        <v>91</v>
      </c>
      <c r="AB10" s="1" t="s">
        <v>230</v>
      </c>
      <c r="AI10" s="1" t="s">
        <v>63</v>
      </c>
      <c r="AJ10" s="1" t="s">
        <v>63</v>
      </c>
      <c r="AK10" s="1" t="s">
        <v>59</v>
      </c>
      <c r="AL10" s="1" t="s">
        <v>231</v>
      </c>
      <c r="AO10" s="1" t="s">
        <v>232</v>
      </c>
      <c r="AP10" s="1" t="str">
        <f t="shared" si="0"/>
        <v>Flange. Slip-on DN80 Hub CL150 RF smooth (3.2-6.3 um) CS ASTM A105N Dims to ASME B16.5</v>
      </c>
      <c r="AQ10" s="1" t="s">
        <v>66</v>
      </c>
      <c r="AW10" t="s">
        <v>233</v>
      </c>
      <c r="BC10" t="s">
        <v>68</v>
      </c>
      <c r="BE10" t="s">
        <v>131</v>
      </c>
      <c r="BI10" t="s">
        <v>189</v>
      </c>
    </row>
    <row r="11" spans="1:62" x14ac:dyDescent="0.25">
      <c r="B11" s="1" t="s">
        <v>92</v>
      </c>
      <c r="C11" s="1" t="s">
        <v>225</v>
      </c>
      <c r="D11" s="1" t="s">
        <v>226</v>
      </c>
      <c r="E11" s="1" t="s">
        <v>92</v>
      </c>
      <c r="F11" s="6">
        <v>24.26</v>
      </c>
      <c r="G11" t="s">
        <v>227</v>
      </c>
      <c r="H11" t="s">
        <v>248</v>
      </c>
      <c r="I11" s="3" t="s">
        <v>183</v>
      </c>
      <c r="J11" s="1" t="s">
        <v>92</v>
      </c>
      <c r="K11" s="1" t="s">
        <v>59</v>
      </c>
      <c r="L11" s="1" t="s">
        <v>92</v>
      </c>
      <c r="M11" s="1" t="s">
        <v>422</v>
      </c>
      <c r="R11" s="1" t="s">
        <v>99</v>
      </c>
      <c r="T11" s="1" t="s">
        <v>63</v>
      </c>
      <c r="U11" s="1" t="s">
        <v>63</v>
      </c>
      <c r="V11" s="1" t="s">
        <v>59</v>
      </c>
      <c r="W11" t="s">
        <v>249</v>
      </c>
      <c r="X11" s="3" t="s">
        <v>185</v>
      </c>
      <c r="Y11" s="1" t="s">
        <v>92</v>
      </c>
      <c r="Z11" s="1" t="s">
        <v>59</v>
      </c>
      <c r="AA11" s="1" t="s">
        <v>92</v>
      </c>
      <c r="AB11" s="1" t="s">
        <v>230</v>
      </c>
      <c r="AI11" s="1" t="s">
        <v>63</v>
      </c>
      <c r="AJ11" s="1" t="s">
        <v>63</v>
      </c>
      <c r="AK11" s="1" t="s">
        <v>59</v>
      </c>
      <c r="AL11" s="1" t="s">
        <v>231</v>
      </c>
      <c r="AO11" s="1" t="s">
        <v>232</v>
      </c>
      <c r="AP11" s="1" t="str">
        <f t="shared" si="0"/>
        <v>Flange. Slip-on DN90 Hub CL150 RF smooth (3.2-6.3 um) CS ASTM A105N Dims to ASME B16.5</v>
      </c>
      <c r="AQ11" s="1" t="s">
        <v>66</v>
      </c>
      <c r="AW11" t="s">
        <v>233</v>
      </c>
      <c r="BC11" t="s">
        <v>68</v>
      </c>
      <c r="BE11" t="s">
        <v>131</v>
      </c>
      <c r="BI11" t="s">
        <v>189</v>
      </c>
    </row>
    <row r="12" spans="1:62" x14ac:dyDescent="0.25">
      <c r="B12" s="1" t="s">
        <v>94</v>
      </c>
      <c r="C12" s="1" t="s">
        <v>225</v>
      </c>
      <c r="D12" s="1" t="s">
        <v>226</v>
      </c>
      <c r="E12" s="1" t="s">
        <v>94</v>
      </c>
      <c r="F12" s="6">
        <v>26</v>
      </c>
      <c r="G12" t="s">
        <v>227</v>
      </c>
      <c r="H12" t="s">
        <v>250</v>
      </c>
      <c r="I12" s="3" t="s">
        <v>183</v>
      </c>
      <c r="J12" s="1" t="s">
        <v>94</v>
      </c>
      <c r="K12" s="1" t="s">
        <v>59</v>
      </c>
      <c r="L12" s="1" t="s">
        <v>96</v>
      </c>
      <c r="M12" s="1" t="s">
        <v>422</v>
      </c>
      <c r="R12" s="1" t="s">
        <v>99</v>
      </c>
      <c r="T12" s="1" t="s">
        <v>63</v>
      </c>
      <c r="U12" s="1" t="s">
        <v>63</v>
      </c>
      <c r="V12" s="1" t="s">
        <v>59</v>
      </c>
      <c r="W12" t="s">
        <v>251</v>
      </c>
      <c r="X12" s="3" t="s">
        <v>185</v>
      </c>
      <c r="Y12" s="1" t="s">
        <v>94</v>
      </c>
      <c r="Z12" s="1" t="s">
        <v>59</v>
      </c>
      <c r="AA12" s="1" t="s">
        <v>96</v>
      </c>
      <c r="AB12" s="1" t="s">
        <v>230</v>
      </c>
      <c r="AI12" s="1" t="s">
        <v>63</v>
      </c>
      <c r="AJ12" s="1" t="s">
        <v>63</v>
      </c>
      <c r="AK12" s="1" t="s">
        <v>59</v>
      </c>
      <c r="AL12" s="1" t="s">
        <v>231</v>
      </c>
      <c r="AO12" s="1" t="s">
        <v>232</v>
      </c>
      <c r="AP12" s="1" t="str">
        <f t="shared" si="0"/>
        <v>Flange. Slip-on DN100 Hub CL150 RF smooth (3.2-6.3 um) CS ASTM A105N Dims to ASME B16.5</v>
      </c>
      <c r="AQ12" s="1" t="s">
        <v>66</v>
      </c>
      <c r="AW12" t="s">
        <v>233</v>
      </c>
      <c r="BC12" t="s">
        <v>68</v>
      </c>
      <c r="BE12" t="s">
        <v>131</v>
      </c>
      <c r="BI12" t="s">
        <v>189</v>
      </c>
    </row>
    <row r="13" spans="1:62" x14ac:dyDescent="0.25">
      <c r="B13" s="1" t="s">
        <v>97</v>
      </c>
      <c r="C13" s="1" t="s">
        <v>225</v>
      </c>
      <c r="D13" s="1" t="s">
        <v>226</v>
      </c>
      <c r="E13" s="1" t="s">
        <v>97</v>
      </c>
      <c r="F13" s="6">
        <v>29</v>
      </c>
      <c r="G13" t="s">
        <v>227</v>
      </c>
      <c r="H13" t="s">
        <v>252</v>
      </c>
      <c r="I13" s="3" t="s">
        <v>183</v>
      </c>
      <c r="J13" s="1" t="s">
        <v>97</v>
      </c>
      <c r="K13" s="1" t="s">
        <v>59</v>
      </c>
      <c r="L13" s="1" t="s">
        <v>97</v>
      </c>
      <c r="M13" s="1" t="s">
        <v>422</v>
      </c>
      <c r="R13" s="1" t="s">
        <v>99</v>
      </c>
      <c r="T13" s="1" t="s">
        <v>63</v>
      </c>
      <c r="U13" s="1" t="s">
        <v>63</v>
      </c>
      <c r="V13" s="1" t="s">
        <v>59</v>
      </c>
      <c r="W13" t="s">
        <v>253</v>
      </c>
      <c r="X13" s="3" t="s">
        <v>185</v>
      </c>
      <c r="Y13" s="1" t="s">
        <v>97</v>
      </c>
      <c r="Z13" s="1" t="s">
        <v>59</v>
      </c>
      <c r="AA13" s="1" t="s">
        <v>97</v>
      </c>
      <c r="AB13" s="1" t="s">
        <v>230</v>
      </c>
      <c r="AI13" s="1" t="s">
        <v>63</v>
      </c>
      <c r="AJ13" s="1" t="s">
        <v>63</v>
      </c>
      <c r="AK13" s="1" t="s">
        <v>59</v>
      </c>
      <c r="AL13" s="1" t="s">
        <v>231</v>
      </c>
      <c r="AO13" s="1" t="s">
        <v>232</v>
      </c>
      <c r="AP13" s="1" t="str">
        <f t="shared" si="0"/>
        <v>Flange. Slip-on DN125 Hub CL150 RF smooth (3.2-6.3 um) CS ASTM A105N Dims to ASME B16.5</v>
      </c>
      <c r="AQ13" s="1" t="s">
        <v>66</v>
      </c>
      <c r="AW13" t="s">
        <v>233</v>
      </c>
      <c r="BC13" t="s">
        <v>68</v>
      </c>
      <c r="BE13" t="s">
        <v>131</v>
      </c>
      <c r="BI13" t="s">
        <v>189</v>
      </c>
    </row>
    <row r="14" spans="1:62" x14ac:dyDescent="0.25">
      <c r="B14" s="1" t="s">
        <v>99</v>
      </c>
      <c r="C14" s="1" t="s">
        <v>225</v>
      </c>
      <c r="D14" s="1" t="s">
        <v>226</v>
      </c>
      <c r="E14" s="1" t="s">
        <v>99</v>
      </c>
      <c r="F14" s="6">
        <v>32</v>
      </c>
      <c r="G14" t="s">
        <v>227</v>
      </c>
      <c r="H14" t="s">
        <v>254</v>
      </c>
      <c r="I14" s="3" t="s">
        <v>183</v>
      </c>
      <c r="J14" s="1" t="s">
        <v>99</v>
      </c>
      <c r="K14" s="1" t="s">
        <v>59</v>
      </c>
      <c r="L14" s="1" t="s">
        <v>101</v>
      </c>
      <c r="M14" s="1" t="s">
        <v>422</v>
      </c>
      <c r="R14" s="1" t="s">
        <v>99</v>
      </c>
      <c r="T14" s="1" t="s">
        <v>63</v>
      </c>
      <c r="U14" s="1" t="s">
        <v>63</v>
      </c>
      <c r="V14" s="1" t="s">
        <v>59</v>
      </c>
      <c r="W14" t="s">
        <v>255</v>
      </c>
      <c r="X14" s="3" t="s">
        <v>185</v>
      </c>
      <c r="Y14" s="1" t="s">
        <v>99</v>
      </c>
      <c r="Z14" s="1" t="s">
        <v>59</v>
      </c>
      <c r="AA14" s="1" t="s">
        <v>101</v>
      </c>
      <c r="AB14" s="1" t="s">
        <v>230</v>
      </c>
      <c r="AI14" s="1" t="s">
        <v>63</v>
      </c>
      <c r="AJ14" s="1" t="s">
        <v>63</v>
      </c>
      <c r="AK14" s="1" t="s">
        <v>59</v>
      </c>
      <c r="AL14" s="1" t="s">
        <v>231</v>
      </c>
      <c r="AO14" s="1" t="s">
        <v>232</v>
      </c>
      <c r="AP14" s="1" t="str">
        <f t="shared" si="0"/>
        <v>Flange. Slip-on DN150 Hub CL150 RF smooth (3.2-6.3 um) CS ASTM A105N Dims to ASME B16.5</v>
      </c>
      <c r="AQ14" s="1" t="s">
        <v>66</v>
      </c>
      <c r="AW14" t="s">
        <v>233</v>
      </c>
      <c r="BC14" t="s">
        <v>68</v>
      </c>
      <c r="BE14" t="s">
        <v>131</v>
      </c>
      <c r="BI14" t="s">
        <v>189</v>
      </c>
    </row>
    <row r="15" spans="1:62" x14ac:dyDescent="0.25">
      <c r="B15" s="1" t="s">
        <v>102</v>
      </c>
      <c r="C15" s="1" t="s">
        <v>225</v>
      </c>
      <c r="D15" s="1" t="s">
        <v>226</v>
      </c>
      <c r="E15" s="1" t="s">
        <v>102</v>
      </c>
      <c r="F15" s="6">
        <v>37</v>
      </c>
      <c r="G15" t="s">
        <v>227</v>
      </c>
      <c r="H15" t="s">
        <v>256</v>
      </c>
      <c r="I15" s="3" t="s">
        <v>183</v>
      </c>
      <c r="J15" s="1" t="s">
        <v>102</v>
      </c>
      <c r="K15" s="1" t="s">
        <v>59</v>
      </c>
      <c r="L15" s="1" t="s">
        <v>104</v>
      </c>
      <c r="M15" s="1" t="s">
        <v>422</v>
      </c>
      <c r="R15" s="1" t="s">
        <v>99</v>
      </c>
      <c r="T15" s="1" t="s">
        <v>63</v>
      </c>
      <c r="U15" s="1" t="s">
        <v>63</v>
      </c>
      <c r="V15" s="1" t="s">
        <v>59</v>
      </c>
      <c r="W15" t="s">
        <v>257</v>
      </c>
      <c r="X15" s="3" t="s">
        <v>185</v>
      </c>
      <c r="Y15" s="1" t="s">
        <v>102</v>
      </c>
      <c r="Z15" s="1" t="s">
        <v>59</v>
      </c>
      <c r="AA15" s="1" t="s">
        <v>104</v>
      </c>
      <c r="AB15" s="1" t="s">
        <v>230</v>
      </c>
      <c r="AI15" s="1" t="s">
        <v>63</v>
      </c>
      <c r="AJ15" s="1" t="s">
        <v>63</v>
      </c>
      <c r="AK15" s="1" t="s">
        <v>59</v>
      </c>
      <c r="AL15" s="1" t="s">
        <v>231</v>
      </c>
      <c r="AO15" s="1" t="s">
        <v>232</v>
      </c>
      <c r="AP15" s="1" t="str">
        <f t="shared" si="0"/>
        <v>Flange. Slip-on DN200 Hub CL150 RF smooth (3.2-6.3 um) CS ASTM A105N Dims to ASME B16.5</v>
      </c>
      <c r="AQ15" s="1" t="s">
        <v>66</v>
      </c>
      <c r="AW15" t="s">
        <v>233</v>
      </c>
      <c r="BC15" t="s">
        <v>68</v>
      </c>
      <c r="BE15" t="s">
        <v>131</v>
      </c>
      <c r="BI15" t="s">
        <v>189</v>
      </c>
    </row>
    <row r="16" spans="1:62" x14ac:dyDescent="0.25">
      <c r="B16" s="1" t="s">
        <v>105</v>
      </c>
      <c r="C16" s="1" t="s">
        <v>225</v>
      </c>
      <c r="D16" s="1" t="s">
        <v>226</v>
      </c>
      <c r="E16" s="1" t="s">
        <v>105</v>
      </c>
      <c r="F16" s="6">
        <v>42</v>
      </c>
      <c r="G16" t="s">
        <v>227</v>
      </c>
      <c r="H16" t="s">
        <v>258</v>
      </c>
      <c r="I16" s="3" t="s">
        <v>183</v>
      </c>
      <c r="J16" s="1" t="s">
        <v>105</v>
      </c>
      <c r="K16" s="1" t="s">
        <v>59</v>
      </c>
      <c r="L16" s="1" t="s">
        <v>107</v>
      </c>
      <c r="M16" s="1" t="s">
        <v>422</v>
      </c>
      <c r="R16" s="1" t="s">
        <v>99</v>
      </c>
      <c r="T16" s="1" t="s">
        <v>63</v>
      </c>
      <c r="U16" s="1" t="s">
        <v>63</v>
      </c>
      <c r="V16" s="1" t="s">
        <v>59</v>
      </c>
      <c r="W16" t="s">
        <v>259</v>
      </c>
      <c r="X16" s="3" t="s">
        <v>185</v>
      </c>
      <c r="Y16" s="1" t="s">
        <v>105</v>
      </c>
      <c r="Z16" s="1" t="s">
        <v>59</v>
      </c>
      <c r="AA16" s="1" t="s">
        <v>107</v>
      </c>
      <c r="AB16" s="1" t="s">
        <v>230</v>
      </c>
      <c r="AI16" s="1" t="s">
        <v>63</v>
      </c>
      <c r="AJ16" s="1" t="s">
        <v>63</v>
      </c>
      <c r="AK16" s="1" t="s">
        <v>59</v>
      </c>
      <c r="AL16" s="1" t="s">
        <v>231</v>
      </c>
      <c r="AO16" s="1" t="s">
        <v>232</v>
      </c>
      <c r="AP16" s="1" t="str">
        <f t="shared" si="0"/>
        <v>Flange. Slip-on DN250 Hub CL150 RF smooth (3.2-6.3 um) CS ASTM A105N Dims to ASME B16.5</v>
      </c>
      <c r="AQ16" s="1" t="s">
        <v>66</v>
      </c>
      <c r="AW16" t="s">
        <v>233</v>
      </c>
      <c r="BC16" t="s">
        <v>68</v>
      </c>
      <c r="BE16" t="s">
        <v>131</v>
      </c>
      <c r="BI16" t="s">
        <v>189</v>
      </c>
    </row>
    <row r="17" spans="2:61" x14ac:dyDescent="0.25">
      <c r="B17" s="1" t="s">
        <v>108</v>
      </c>
      <c r="C17" s="1" t="s">
        <v>225</v>
      </c>
      <c r="D17" s="1" t="s">
        <v>226</v>
      </c>
      <c r="E17" s="1" t="s">
        <v>108</v>
      </c>
      <c r="F17" s="6">
        <v>48</v>
      </c>
      <c r="G17" t="s">
        <v>227</v>
      </c>
      <c r="H17" t="s">
        <v>260</v>
      </c>
      <c r="I17" s="3" t="s">
        <v>183</v>
      </c>
      <c r="J17" s="1" t="s">
        <v>108</v>
      </c>
      <c r="K17" s="1" t="s">
        <v>59</v>
      </c>
      <c r="L17" s="1" t="s">
        <v>110</v>
      </c>
      <c r="M17" s="1" t="s">
        <v>422</v>
      </c>
      <c r="R17" s="1" t="s">
        <v>99</v>
      </c>
      <c r="T17" s="1" t="s">
        <v>63</v>
      </c>
      <c r="U17" s="1" t="s">
        <v>63</v>
      </c>
      <c r="V17" s="1" t="s">
        <v>59</v>
      </c>
      <c r="W17" t="s">
        <v>261</v>
      </c>
      <c r="X17" s="3" t="s">
        <v>185</v>
      </c>
      <c r="Y17" s="1" t="s">
        <v>108</v>
      </c>
      <c r="Z17" s="1" t="s">
        <v>59</v>
      </c>
      <c r="AA17" s="1" t="s">
        <v>110</v>
      </c>
      <c r="AB17" s="1" t="s">
        <v>230</v>
      </c>
      <c r="AI17" s="1" t="s">
        <v>63</v>
      </c>
      <c r="AJ17" s="1" t="s">
        <v>63</v>
      </c>
      <c r="AK17" s="1" t="s">
        <v>59</v>
      </c>
      <c r="AL17" s="1" t="s">
        <v>231</v>
      </c>
      <c r="AO17" s="1" t="s">
        <v>232</v>
      </c>
      <c r="AP17" s="1" t="str">
        <f t="shared" si="0"/>
        <v>Flange. Slip-on DN300 Hub CL150 RF smooth (3.2-6.3 um) CS ASTM A105N Dims to ASME B16.5</v>
      </c>
      <c r="AQ17" s="1" t="s">
        <v>66</v>
      </c>
      <c r="AW17" t="s">
        <v>233</v>
      </c>
      <c r="BC17" t="s">
        <v>68</v>
      </c>
      <c r="BE17" t="s">
        <v>131</v>
      </c>
      <c r="BI17" t="s">
        <v>189</v>
      </c>
    </row>
    <row r="18" spans="2:61" x14ac:dyDescent="0.25">
      <c r="B18" s="1" t="s">
        <v>111</v>
      </c>
      <c r="C18" s="1" t="s">
        <v>225</v>
      </c>
      <c r="D18" s="1" t="s">
        <v>226</v>
      </c>
      <c r="E18" s="1" t="s">
        <v>111</v>
      </c>
      <c r="F18" s="6">
        <v>50</v>
      </c>
      <c r="G18" t="s">
        <v>227</v>
      </c>
      <c r="H18" t="s">
        <v>262</v>
      </c>
      <c r="I18" s="3" t="s">
        <v>183</v>
      </c>
      <c r="J18" s="1" t="s">
        <v>111</v>
      </c>
      <c r="K18" s="1" t="s">
        <v>59</v>
      </c>
      <c r="L18" s="1" t="s">
        <v>113</v>
      </c>
      <c r="M18" s="1" t="s">
        <v>422</v>
      </c>
      <c r="R18" s="1" t="s">
        <v>99</v>
      </c>
      <c r="T18" s="1" t="s">
        <v>63</v>
      </c>
      <c r="U18" s="1" t="s">
        <v>63</v>
      </c>
      <c r="V18" s="1" t="s">
        <v>59</v>
      </c>
      <c r="W18" t="s">
        <v>263</v>
      </c>
      <c r="X18" s="3" t="s">
        <v>185</v>
      </c>
      <c r="Y18" s="1" t="s">
        <v>111</v>
      </c>
      <c r="Z18" s="1" t="s">
        <v>59</v>
      </c>
      <c r="AA18" s="1" t="s">
        <v>113</v>
      </c>
      <c r="AB18" s="1" t="s">
        <v>230</v>
      </c>
      <c r="AI18" s="1" t="s">
        <v>63</v>
      </c>
      <c r="AJ18" s="1" t="s">
        <v>63</v>
      </c>
      <c r="AK18" s="1" t="s">
        <v>59</v>
      </c>
      <c r="AL18" s="1" t="s">
        <v>231</v>
      </c>
      <c r="AO18" s="1" t="s">
        <v>232</v>
      </c>
      <c r="AP18" s="1" t="str">
        <f t="shared" si="0"/>
        <v>Flange. Slip-on DN350 Hub CL150 RF smooth (3.2-6.3 um) CS ASTM A105N Dims to ASME B16.5</v>
      </c>
      <c r="AQ18" s="1" t="s">
        <v>66</v>
      </c>
      <c r="AW18" t="s">
        <v>233</v>
      </c>
      <c r="BC18" t="s">
        <v>68</v>
      </c>
      <c r="BE18" t="s">
        <v>131</v>
      </c>
      <c r="BI18" t="s">
        <v>189</v>
      </c>
    </row>
    <row r="19" spans="2:61" x14ac:dyDescent="0.25">
      <c r="B19" s="1" t="s">
        <v>114</v>
      </c>
      <c r="C19" s="1" t="s">
        <v>225</v>
      </c>
      <c r="D19" s="1" t="s">
        <v>226</v>
      </c>
      <c r="E19" s="1" t="s">
        <v>114</v>
      </c>
      <c r="F19" s="6">
        <v>56</v>
      </c>
      <c r="G19" t="s">
        <v>227</v>
      </c>
      <c r="H19" t="s">
        <v>264</v>
      </c>
      <c r="I19" s="3" t="s">
        <v>183</v>
      </c>
      <c r="J19" s="1" t="s">
        <v>114</v>
      </c>
      <c r="K19" s="1" t="s">
        <v>59</v>
      </c>
      <c r="L19" s="1" t="s">
        <v>116</v>
      </c>
      <c r="M19" s="1" t="s">
        <v>422</v>
      </c>
      <c r="R19" s="1" t="s">
        <v>99</v>
      </c>
      <c r="T19" s="1" t="s">
        <v>63</v>
      </c>
      <c r="U19" s="1" t="s">
        <v>63</v>
      </c>
      <c r="V19" s="1" t="s">
        <v>59</v>
      </c>
      <c r="W19" t="s">
        <v>265</v>
      </c>
      <c r="X19" s="3" t="s">
        <v>185</v>
      </c>
      <c r="Y19" s="1" t="s">
        <v>114</v>
      </c>
      <c r="Z19" s="1" t="s">
        <v>59</v>
      </c>
      <c r="AA19" s="1" t="s">
        <v>116</v>
      </c>
      <c r="AB19" s="1" t="s">
        <v>230</v>
      </c>
      <c r="AI19" s="1" t="s">
        <v>63</v>
      </c>
      <c r="AJ19" s="1" t="s">
        <v>63</v>
      </c>
      <c r="AK19" s="1" t="s">
        <v>59</v>
      </c>
      <c r="AL19" s="1" t="s">
        <v>231</v>
      </c>
      <c r="AO19" s="1" t="s">
        <v>232</v>
      </c>
      <c r="AP19" s="1" t="str">
        <f t="shared" si="0"/>
        <v>Flange. Slip-on DN400 Hub CL150 RF smooth (3.2-6.3 um) CS ASTM A105N Dims to ASME B16.5</v>
      </c>
      <c r="AQ19" s="1" t="s">
        <v>66</v>
      </c>
      <c r="AW19" t="s">
        <v>233</v>
      </c>
      <c r="BC19" t="s">
        <v>68</v>
      </c>
      <c r="BE19" t="s">
        <v>131</v>
      </c>
      <c r="BI19" t="s">
        <v>189</v>
      </c>
    </row>
    <row r="20" spans="2:61" x14ac:dyDescent="0.25">
      <c r="B20" s="1" t="s">
        <v>117</v>
      </c>
      <c r="C20" s="1" t="s">
        <v>225</v>
      </c>
      <c r="D20" s="1" t="s">
        <v>226</v>
      </c>
      <c r="E20" s="1" t="s">
        <v>117</v>
      </c>
      <c r="F20" s="6">
        <v>61</v>
      </c>
      <c r="G20" t="s">
        <v>227</v>
      </c>
      <c r="H20" t="s">
        <v>266</v>
      </c>
      <c r="I20" s="3" t="s">
        <v>183</v>
      </c>
      <c r="J20" s="1" t="s">
        <v>117</v>
      </c>
      <c r="K20" s="1" t="s">
        <v>59</v>
      </c>
      <c r="L20" s="1" t="s">
        <v>119</v>
      </c>
      <c r="M20" s="1" t="s">
        <v>422</v>
      </c>
      <c r="R20" s="1" t="s">
        <v>99</v>
      </c>
      <c r="T20" s="1" t="s">
        <v>63</v>
      </c>
      <c r="U20" s="1" t="s">
        <v>63</v>
      </c>
      <c r="V20" s="1" t="s">
        <v>59</v>
      </c>
      <c r="W20" t="s">
        <v>267</v>
      </c>
      <c r="X20" s="3" t="s">
        <v>185</v>
      </c>
      <c r="Y20" s="1" t="s">
        <v>117</v>
      </c>
      <c r="Z20" s="1" t="s">
        <v>59</v>
      </c>
      <c r="AA20" s="1" t="s">
        <v>119</v>
      </c>
      <c r="AB20" s="1" t="s">
        <v>230</v>
      </c>
      <c r="AI20" s="1" t="s">
        <v>63</v>
      </c>
      <c r="AJ20" s="1" t="s">
        <v>63</v>
      </c>
      <c r="AK20" s="1" t="s">
        <v>59</v>
      </c>
      <c r="AL20" s="1" t="s">
        <v>231</v>
      </c>
      <c r="AO20" s="1" t="s">
        <v>232</v>
      </c>
      <c r="AP20" s="1" t="str">
        <f t="shared" si="0"/>
        <v>Flange. Slip-on DN450 Hub CL150 RF smooth (3.2-6.3 um) CS ASTM A105N Dims to ASME B16.5</v>
      </c>
      <c r="AQ20" s="1" t="s">
        <v>66</v>
      </c>
      <c r="AW20" t="s">
        <v>233</v>
      </c>
      <c r="BC20" t="s">
        <v>68</v>
      </c>
      <c r="BE20" t="s">
        <v>131</v>
      </c>
      <c r="BI20" t="s">
        <v>189</v>
      </c>
    </row>
  </sheetData>
  <sheetProtection sheet="1" objects="1" formatCells="0" formatColumns="0" insertColumns="0" deleteColumns="0"/>
  <dataValidations count="2">
    <dataValidation type="list" allowBlank="1" showInputMessage="1" showErrorMessage="1" sqref="AT3:AT20" xr:uid="{00000000-0002-0000-0300-000000000000}">
      <formula1>"LB,KG"</formula1>
    </dataValidation>
    <dataValidation type="decimal" allowBlank="1" showInputMessage="1" showErrorMessage="1" sqref="BC3:BC20 AY3:AY20 AS3:AS20 AI3:AJ20 AF3:AF20 AA3:AA20 Y3:Y20 T3:U20 Q3:Q20 L3:L20 J3:J20" xr:uid="{00000000-0002-0000-03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20"/>
  <sheetViews>
    <sheetView topLeftCell="A2" workbookViewId="0">
      <selection activeCell="C23" sqref="C23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8.7109375" style="1" bestFit="1" customWidth="1"/>
    <col min="4" max="4" width="117" style="1" bestFit="1" customWidth="1"/>
    <col min="5" max="5" width="3.7109375" style="1" bestFit="1" customWidth="1"/>
    <col min="6" max="6" width="4.7109375" style="1" bestFit="1" customWidth="1"/>
    <col min="7" max="7" width="32.42578125" bestFit="1" customWidth="1"/>
    <col min="8" max="8" width="37.7109375" bestFit="1" customWidth="1"/>
    <col min="9" max="9" width="15.85546875" style="1" bestFit="1" customWidth="1"/>
    <col min="10" max="10" width="23" style="1" bestFit="1" customWidth="1"/>
    <col min="11" max="11" width="18.42578125" style="1" bestFit="1" customWidth="1"/>
    <col min="12" max="12" width="22" style="1" bestFit="1" customWidth="1"/>
    <col min="13" max="13" width="14.42578125" style="1" bestFit="1" customWidth="1"/>
    <col min="14" max="14" width="15.5703125" style="1" bestFit="1" customWidth="1"/>
    <col min="15" max="15" width="15.85546875" style="1" bestFit="1" customWidth="1"/>
    <col min="16" max="16" width="12.28515625" style="1" bestFit="1" customWidth="1"/>
    <col min="17" max="17" width="21.5703125" style="1" bestFit="1" customWidth="1"/>
    <col min="18" max="18" width="19.140625" style="1" bestFit="1" customWidth="1"/>
    <col min="19" max="19" width="15" style="1" bestFit="1" customWidth="1"/>
    <col min="20" max="20" width="19.7109375" style="1" bestFit="1" customWidth="1"/>
    <col min="21" max="21" width="24.140625" style="1" bestFit="1" customWidth="1"/>
    <col min="22" max="22" width="16.7109375" style="1" bestFit="1" customWidth="1"/>
    <col min="23" max="23" width="23.140625" style="1" bestFit="1" customWidth="1"/>
    <col min="24" max="24" width="19.42578125" style="1" bestFit="1" customWidth="1"/>
    <col min="25" max="25" width="9.85546875" style="1" bestFit="1" customWidth="1"/>
    <col min="26" max="26" width="52.140625" style="1" bestFit="1" customWidth="1"/>
    <col min="27" max="27" width="16.5703125" style="1" bestFit="1" customWidth="1"/>
    <col min="28" max="28" width="8.5703125" style="1" bestFit="1" customWidth="1"/>
    <col min="29" max="29" width="13.28515625" style="1" bestFit="1" customWidth="1"/>
    <col min="30" max="30" width="7.5703125" style="1" bestFit="1" customWidth="1"/>
    <col min="31" max="31" width="11.42578125" style="1" bestFit="1" customWidth="1"/>
    <col min="32" max="33" width="5.28515625" style="1" bestFit="1" customWidth="1"/>
    <col min="34" max="34" width="36.28515625" bestFit="1" customWidth="1"/>
    <col min="35" max="35" width="19" bestFit="1" customWidth="1"/>
    <col min="36" max="36" width="10" bestFit="1" customWidth="1"/>
    <col min="37" max="37" width="13.28515625" style="1" bestFit="1" customWidth="1"/>
    <col min="38" max="38" width="9.7109375" style="1" bestFit="1" customWidth="1"/>
    <col min="39" max="39" width="20.42578125" style="1" bestFit="1" customWidth="1"/>
    <col min="40" max="40" width="20.42578125" bestFit="1" customWidth="1"/>
    <col min="41" max="41" width="22.42578125" style="1" bestFit="1" customWidth="1"/>
    <col min="42" max="42" width="12.42578125" bestFit="1" customWidth="1"/>
    <col min="43" max="43" width="26.85546875" bestFit="1" customWidth="1"/>
    <col min="44" max="44" width="11.42578125" bestFit="1" customWidth="1"/>
    <col min="45" max="45" width="6.42578125" style="1" bestFit="1" customWidth="1"/>
    <col min="46" max="46" width="7" style="1" bestFit="1" customWidth="1"/>
    <col min="47" max="48" width="13.28515625" style="1" bestFit="1" customWidth="1"/>
    <col min="49" max="49" width="11.140625" style="1" bestFit="1" customWidth="1"/>
    <col min="50" max="50" width="14.28515625" bestFit="1" customWidth="1"/>
    <col min="51" max="51" width="22.7109375" bestFit="1" customWidth="1"/>
    <col min="52" max="52" width="9.140625" customWidth="1"/>
  </cols>
  <sheetData>
    <row r="1" spans="1:51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s="1" t="s">
        <v>268</v>
      </c>
      <c r="G1" t="s">
        <v>6</v>
      </c>
      <c r="H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t="s">
        <v>39</v>
      </c>
      <c r="AO1" s="1" t="s">
        <v>40</v>
      </c>
      <c r="AP1" t="s">
        <v>41</v>
      </c>
      <c r="AQ1" t="s">
        <v>42</v>
      </c>
      <c r="AR1" t="s">
        <v>43</v>
      </c>
      <c r="AS1" s="1" t="s">
        <v>44</v>
      </c>
      <c r="AT1" s="1" t="s">
        <v>45</v>
      </c>
      <c r="AU1" s="1" t="s">
        <v>269</v>
      </c>
      <c r="AV1" s="1" t="s">
        <v>270</v>
      </c>
      <c r="AW1" s="1" t="s">
        <v>271</v>
      </c>
      <c r="AX1" t="s">
        <v>50</v>
      </c>
      <c r="AY1" t="s">
        <v>51</v>
      </c>
    </row>
    <row r="2" spans="1:51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268</v>
      </c>
      <c r="G2" s="2" t="s">
        <v>6</v>
      </c>
      <c r="H2" s="2" t="s">
        <v>7</v>
      </c>
      <c r="I2" s="4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269</v>
      </c>
      <c r="AV2" s="2" t="s">
        <v>270</v>
      </c>
      <c r="AW2" s="2" t="s">
        <v>271</v>
      </c>
      <c r="AX2" s="2" t="s">
        <v>50</v>
      </c>
      <c r="AY2" s="2" t="s">
        <v>51</v>
      </c>
    </row>
    <row r="3" spans="1:51" x14ac:dyDescent="0.25">
      <c r="B3" s="1" t="s">
        <v>54</v>
      </c>
      <c r="C3" s="1" t="s">
        <v>272</v>
      </c>
      <c r="D3" s="1" t="s">
        <v>273</v>
      </c>
      <c r="G3" t="s">
        <v>274</v>
      </c>
      <c r="H3" t="s">
        <v>275</v>
      </c>
      <c r="I3" s="3" t="s">
        <v>58</v>
      </c>
      <c r="J3" s="1" t="s">
        <v>54</v>
      </c>
      <c r="K3" s="1" t="s">
        <v>59</v>
      </c>
      <c r="L3" s="1" t="s">
        <v>60</v>
      </c>
      <c r="M3" s="1" t="s">
        <v>126</v>
      </c>
      <c r="R3" s="1" t="s">
        <v>276</v>
      </c>
      <c r="T3" s="1" t="s">
        <v>63</v>
      </c>
      <c r="U3" s="1" t="s">
        <v>63</v>
      </c>
      <c r="V3" s="1" t="s">
        <v>59</v>
      </c>
      <c r="W3" s="1" t="s">
        <v>277</v>
      </c>
      <c r="Z3" s="1" t="s">
        <v>278</v>
      </c>
      <c r="AB3" s="1" t="s">
        <v>66</v>
      </c>
      <c r="AH3" t="s">
        <v>279</v>
      </c>
      <c r="AN3" t="s">
        <v>280</v>
      </c>
      <c r="AP3" t="s">
        <v>281</v>
      </c>
      <c r="AX3" t="s">
        <v>282</v>
      </c>
    </row>
    <row r="4" spans="1:51" x14ac:dyDescent="0.25">
      <c r="B4" s="1" t="s">
        <v>71</v>
      </c>
      <c r="C4" s="1" t="s">
        <v>272</v>
      </c>
      <c r="D4" s="1" t="s">
        <v>273</v>
      </c>
      <c r="G4" t="s">
        <v>274</v>
      </c>
      <c r="H4" t="s">
        <v>283</v>
      </c>
      <c r="I4" s="3" t="s">
        <v>58</v>
      </c>
      <c r="J4" s="1" t="s">
        <v>71</v>
      </c>
      <c r="K4" s="1" t="s">
        <v>59</v>
      </c>
      <c r="L4" s="1" t="s">
        <v>73</v>
      </c>
      <c r="M4" s="1" t="s">
        <v>126</v>
      </c>
      <c r="R4" s="1" t="s">
        <v>276</v>
      </c>
      <c r="T4" s="1" t="s">
        <v>63</v>
      </c>
      <c r="U4" s="1" t="s">
        <v>63</v>
      </c>
      <c r="V4" s="1" t="s">
        <v>59</v>
      </c>
      <c r="W4" s="1" t="s">
        <v>277</v>
      </c>
      <c r="Z4" s="1" t="s">
        <v>278</v>
      </c>
      <c r="AB4" s="1" t="s">
        <v>66</v>
      </c>
      <c r="AH4" t="s">
        <v>279</v>
      </c>
      <c r="AN4" t="s">
        <v>280</v>
      </c>
      <c r="AP4" t="s">
        <v>281</v>
      </c>
      <c r="AX4" t="s">
        <v>282</v>
      </c>
    </row>
    <row r="5" spans="1:51" x14ac:dyDescent="0.25">
      <c r="B5" s="1" t="s">
        <v>74</v>
      </c>
      <c r="C5" s="1" t="s">
        <v>272</v>
      </c>
      <c r="D5" s="1" t="s">
        <v>273</v>
      </c>
      <c r="G5" t="s">
        <v>274</v>
      </c>
      <c r="H5" t="s">
        <v>284</v>
      </c>
      <c r="I5" s="3" t="s">
        <v>58</v>
      </c>
      <c r="J5" s="1" t="s">
        <v>74</v>
      </c>
      <c r="K5" s="1" t="s">
        <v>59</v>
      </c>
      <c r="L5" s="1" t="s">
        <v>76</v>
      </c>
      <c r="M5" s="1" t="s">
        <v>126</v>
      </c>
      <c r="R5" s="1" t="s">
        <v>276</v>
      </c>
      <c r="T5" s="1" t="s">
        <v>63</v>
      </c>
      <c r="U5" s="1" t="s">
        <v>63</v>
      </c>
      <c r="V5" s="1" t="s">
        <v>59</v>
      </c>
      <c r="W5" s="1" t="s">
        <v>277</v>
      </c>
      <c r="Z5" s="1" t="s">
        <v>278</v>
      </c>
      <c r="AB5" s="1" t="s">
        <v>66</v>
      </c>
      <c r="AH5" t="s">
        <v>279</v>
      </c>
      <c r="AN5" t="s">
        <v>280</v>
      </c>
      <c r="AP5" t="s">
        <v>281</v>
      </c>
      <c r="AX5" t="s">
        <v>282</v>
      </c>
    </row>
    <row r="6" spans="1:51" x14ac:dyDescent="0.25">
      <c r="B6" s="1" t="s">
        <v>77</v>
      </c>
      <c r="C6" s="1" t="s">
        <v>272</v>
      </c>
      <c r="D6" s="1" t="s">
        <v>273</v>
      </c>
      <c r="G6" t="s">
        <v>274</v>
      </c>
      <c r="H6" t="s">
        <v>285</v>
      </c>
      <c r="I6" s="3" t="s">
        <v>58</v>
      </c>
      <c r="J6" s="1" t="s">
        <v>77</v>
      </c>
      <c r="K6" s="1" t="s">
        <v>59</v>
      </c>
      <c r="L6" s="1" t="s">
        <v>79</v>
      </c>
      <c r="M6" s="1" t="s">
        <v>126</v>
      </c>
      <c r="R6" s="1" t="s">
        <v>276</v>
      </c>
      <c r="T6" s="1" t="s">
        <v>63</v>
      </c>
      <c r="U6" s="1" t="s">
        <v>63</v>
      </c>
      <c r="V6" s="1" t="s">
        <v>59</v>
      </c>
      <c r="W6" s="1" t="s">
        <v>277</v>
      </c>
      <c r="Z6" s="1" t="s">
        <v>278</v>
      </c>
      <c r="AB6" s="1" t="s">
        <v>66</v>
      </c>
      <c r="AH6" t="s">
        <v>279</v>
      </c>
      <c r="AN6" t="s">
        <v>280</v>
      </c>
      <c r="AP6" t="s">
        <v>281</v>
      </c>
      <c r="AX6" t="s">
        <v>282</v>
      </c>
    </row>
    <row r="7" spans="1:51" x14ac:dyDescent="0.25">
      <c r="B7" s="1" t="s">
        <v>62</v>
      </c>
      <c r="C7" s="1" t="s">
        <v>272</v>
      </c>
      <c r="D7" s="1" t="s">
        <v>273</v>
      </c>
      <c r="G7" t="s">
        <v>274</v>
      </c>
      <c r="H7" t="s">
        <v>286</v>
      </c>
      <c r="I7" s="3" t="s">
        <v>58</v>
      </c>
      <c r="J7" s="1" t="s">
        <v>62</v>
      </c>
      <c r="K7" s="1" t="s">
        <v>59</v>
      </c>
      <c r="L7" s="1" t="s">
        <v>82</v>
      </c>
      <c r="M7" s="1" t="s">
        <v>126</v>
      </c>
      <c r="R7" s="1" t="s">
        <v>276</v>
      </c>
      <c r="T7" s="1" t="s">
        <v>63</v>
      </c>
      <c r="U7" s="1" t="s">
        <v>63</v>
      </c>
      <c r="V7" s="1" t="s">
        <v>59</v>
      </c>
      <c r="W7" s="1" t="s">
        <v>277</v>
      </c>
      <c r="Z7" s="1" t="s">
        <v>278</v>
      </c>
      <c r="AB7" s="1" t="s">
        <v>66</v>
      </c>
      <c r="AH7" t="s">
        <v>279</v>
      </c>
      <c r="AN7" t="s">
        <v>280</v>
      </c>
      <c r="AP7" t="s">
        <v>281</v>
      </c>
      <c r="AX7" t="s">
        <v>282</v>
      </c>
    </row>
    <row r="8" spans="1:51" x14ac:dyDescent="0.25">
      <c r="B8" s="1" t="s">
        <v>83</v>
      </c>
      <c r="C8" s="1" t="s">
        <v>272</v>
      </c>
      <c r="D8" s="1" t="s">
        <v>273</v>
      </c>
      <c r="G8" t="s">
        <v>274</v>
      </c>
      <c r="H8" t="s">
        <v>287</v>
      </c>
      <c r="I8" s="3" t="s">
        <v>58</v>
      </c>
      <c r="J8" s="1" t="s">
        <v>83</v>
      </c>
      <c r="K8" s="1" t="s">
        <v>59</v>
      </c>
      <c r="L8" s="1" t="s">
        <v>85</v>
      </c>
      <c r="M8" s="1" t="s">
        <v>126</v>
      </c>
      <c r="R8" s="1" t="s">
        <v>276</v>
      </c>
      <c r="T8" s="1" t="s">
        <v>63</v>
      </c>
      <c r="U8" s="1" t="s">
        <v>63</v>
      </c>
      <c r="V8" s="1" t="s">
        <v>59</v>
      </c>
      <c r="W8" s="1" t="s">
        <v>277</v>
      </c>
      <c r="Z8" s="1" t="s">
        <v>278</v>
      </c>
      <c r="AB8" s="1" t="s">
        <v>66</v>
      </c>
      <c r="AH8" t="s">
        <v>279</v>
      </c>
      <c r="AN8" t="s">
        <v>280</v>
      </c>
      <c r="AP8" t="s">
        <v>281</v>
      </c>
      <c r="AX8" t="s">
        <v>282</v>
      </c>
    </row>
    <row r="9" spans="1:51" x14ac:dyDescent="0.25">
      <c r="B9" s="1" t="s">
        <v>86</v>
      </c>
      <c r="C9" s="1" t="s">
        <v>272</v>
      </c>
      <c r="D9" s="1" t="s">
        <v>273</v>
      </c>
      <c r="G9" t="s">
        <v>274</v>
      </c>
      <c r="H9" t="s">
        <v>288</v>
      </c>
      <c r="I9" s="3" t="s">
        <v>58</v>
      </c>
      <c r="J9" s="1" t="s">
        <v>86</v>
      </c>
      <c r="K9" s="1" t="s">
        <v>59</v>
      </c>
      <c r="L9" s="1" t="s">
        <v>88</v>
      </c>
      <c r="M9" s="1" t="s">
        <v>126</v>
      </c>
      <c r="R9" s="1" t="s">
        <v>276</v>
      </c>
      <c r="T9" s="1" t="s">
        <v>63</v>
      </c>
      <c r="U9" s="1" t="s">
        <v>63</v>
      </c>
      <c r="V9" s="1" t="s">
        <v>59</v>
      </c>
      <c r="W9" s="1" t="s">
        <v>277</v>
      </c>
      <c r="Z9" s="1" t="s">
        <v>278</v>
      </c>
      <c r="AB9" s="1" t="s">
        <v>66</v>
      </c>
      <c r="AH9" t="s">
        <v>279</v>
      </c>
      <c r="AN9" t="s">
        <v>280</v>
      </c>
      <c r="AP9" t="s">
        <v>281</v>
      </c>
      <c r="AX9" t="s">
        <v>282</v>
      </c>
    </row>
    <row r="10" spans="1:51" x14ac:dyDescent="0.25">
      <c r="B10" s="1" t="s">
        <v>89</v>
      </c>
      <c r="C10" s="1" t="s">
        <v>272</v>
      </c>
      <c r="D10" s="1" t="s">
        <v>273</v>
      </c>
      <c r="G10" t="s">
        <v>274</v>
      </c>
      <c r="H10" t="s">
        <v>289</v>
      </c>
      <c r="I10" s="3" t="s">
        <v>58</v>
      </c>
      <c r="J10" s="1" t="s">
        <v>89</v>
      </c>
      <c r="K10" s="1" t="s">
        <v>59</v>
      </c>
      <c r="L10" s="1" t="s">
        <v>91</v>
      </c>
      <c r="M10" s="1" t="s">
        <v>126</v>
      </c>
      <c r="R10" s="1" t="s">
        <v>276</v>
      </c>
      <c r="T10" s="1" t="s">
        <v>63</v>
      </c>
      <c r="U10" s="1" t="s">
        <v>63</v>
      </c>
      <c r="V10" s="1" t="s">
        <v>59</v>
      </c>
      <c r="W10" s="1" t="s">
        <v>277</v>
      </c>
      <c r="Z10" s="1" t="s">
        <v>278</v>
      </c>
      <c r="AB10" s="1" t="s">
        <v>66</v>
      </c>
      <c r="AH10" t="s">
        <v>279</v>
      </c>
      <c r="AN10" t="s">
        <v>280</v>
      </c>
      <c r="AP10" t="s">
        <v>281</v>
      </c>
      <c r="AX10" t="s">
        <v>282</v>
      </c>
    </row>
    <row r="11" spans="1:51" x14ac:dyDescent="0.25">
      <c r="B11" s="1" t="s">
        <v>92</v>
      </c>
      <c r="C11" s="1" t="s">
        <v>272</v>
      </c>
      <c r="D11" s="1" t="s">
        <v>273</v>
      </c>
      <c r="G11" t="s">
        <v>274</v>
      </c>
      <c r="H11" t="s">
        <v>290</v>
      </c>
      <c r="I11" s="3" t="s">
        <v>58</v>
      </c>
      <c r="J11" s="1" t="s">
        <v>92</v>
      </c>
      <c r="K11" s="1" t="s">
        <v>59</v>
      </c>
      <c r="L11" s="1" t="s">
        <v>92</v>
      </c>
      <c r="M11" s="1" t="s">
        <v>126</v>
      </c>
      <c r="R11" s="1" t="s">
        <v>276</v>
      </c>
      <c r="T11" s="1" t="s">
        <v>63</v>
      </c>
      <c r="U11" s="1" t="s">
        <v>63</v>
      </c>
      <c r="V11" s="1" t="s">
        <v>59</v>
      </c>
      <c r="W11" s="1" t="s">
        <v>277</v>
      </c>
      <c r="Z11" s="1" t="s">
        <v>278</v>
      </c>
      <c r="AB11" s="1" t="s">
        <v>66</v>
      </c>
      <c r="AH11" t="s">
        <v>279</v>
      </c>
      <c r="AN11" t="s">
        <v>280</v>
      </c>
      <c r="AP11" t="s">
        <v>281</v>
      </c>
      <c r="AX11" t="s">
        <v>282</v>
      </c>
    </row>
    <row r="12" spans="1:51" x14ac:dyDescent="0.25">
      <c r="B12" s="1" t="s">
        <v>94</v>
      </c>
      <c r="C12" s="1" t="s">
        <v>272</v>
      </c>
      <c r="D12" s="1" t="s">
        <v>273</v>
      </c>
      <c r="G12" t="s">
        <v>274</v>
      </c>
      <c r="H12" t="s">
        <v>291</v>
      </c>
      <c r="I12" s="3" t="s">
        <v>58</v>
      </c>
      <c r="J12" s="1" t="s">
        <v>94</v>
      </c>
      <c r="K12" s="1" t="s">
        <v>59</v>
      </c>
      <c r="L12" s="1" t="s">
        <v>96</v>
      </c>
      <c r="M12" s="1" t="s">
        <v>126</v>
      </c>
      <c r="R12" s="1" t="s">
        <v>276</v>
      </c>
      <c r="T12" s="1" t="s">
        <v>63</v>
      </c>
      <c r="U12" s="1" t="s">
        <v>63</v>
      </c>
      <c r="V12" s="1" t="s">
        <v>59</v>
      </c>
      <c r="W12" s="1" t="s">
        <v>277</v>
      </c>
      <c r="Z12" s="1" t="s">
        <v>278</v>
      </c>
      <c r="AB12" s="1" t="s">
        <v>66</v>
      </c>
      <c r="AH12" t="s">
        <v>279</v>
      </c>
      <c r="AN12" t="s">
        <v>280</v>
      </c>
      <c r="AP12" t="s">
        <v>281</v>
      </c>
      <c r="AX12" t="s">
        <v>282</v>
      </c>
    </row>
    <row r="13" spans="1:51" x14ac:dyDescent="0.25">
      <c r="B13" s="1" t="s">
        <v>97</v>
      </c>
      <c r="C13" s="1" t="s">
        <v>272</v>
      </c>
      <c r="D13" s="1" t="s">
        <v>273</v>
      </c>
      <c r="G13" t="s">
        <v>274</v>
      </c>
      <c r="H13" t="s">
        <v>292</v>
      </c>
      <c r="I13" s="3" t="s">
        <v>58</v>
      </c>
      <c r="J13" s="1" t="s">
        <v>97</v>
      </c>
      <c r="K13" s="1" t="s">
        <v>59</v>
      </c>
      <c r="L13" s="1" t="s">
        <v>97</v>
      </c>
      <c r="M13" s="1" t="s">
        <v>126</v>
      </c>
      <c r="R13" s="1" t="s">
        <v>276</v>
      </c>
      <c r="T13" s="1" t="s">
        <v>63</v>
      </c>
      <c r="U13" s="1" t="s">
        <v>63</v>
      </c>
      <c r="V13" s="1" t="s">
        <v>59</v>
      </c>
      <c r="W13" s="1" t="s">
        <v>277</v>
      </c>
      <c r="Z13" s="1" t="s">
        <v>278</v>
      </c>
      <c r="AB13" s="1" t="s">
        <v>66</v>
      </c>
      <c r="AH13" t="s">
        <v>279</v>
      </c>
      <c r="AN13" t="s">
        <v>280</v>
      </c>
      <c r="AP13" t="s">
        <v>281</v>
      </c>
      <c r="AX13" t="s">
        <v>282</v>
      </c>
    </row>
    <row r="14" spans="1:51" x14ac:dyDescent="0.25">
      <c r="B14" s="1" t="s">
        <v>99</v>
      </c>
      <c r="C14" s="1" t="s">
        <v>272</v>
      </c>
      <c r="D14" s="1" t="s">
        <v>273</v>
      </c>
      <c r="G14" t="s">
        <v>274</v>
      </c>
      <c r="H14" t="s">
        <v>293</v>
      </c>
      <c r="I14" s="3" t="s">
        <v>58</v>
      </c>
      <c r="J14" s="1" t="s">
        <v>99</v>
      </c>
      <c r="K14" s="1" t="s">
        <v>59</v>
      </c>
      <c r="L14" s="1" t="s">
        <v>101</v>
      </c>
      <c r="M14" s="1" t="s">
        <v>126</v>
      </c>
      <c r="R14" s="1" t="s">
        <v>276</v>
      </c>
      <c r="T14" s="1" t="s">
        <v>63</v>
      </c>
      <c r="U14" s="1" t="s">
        <v>63</v>
      </c>
      <c r="V14" s="1" t="s">
        <v>59</v>
      </c>
      <c r="W14" s="1" t="s">
        <v>277</v>
      </c>
      <c r="Z14" s="1" t="s">
        <v>278</v>
      </c>
      <c r="AB14" s="1" t="s">
        <v>66</v>
      </c>
      <c r="AH14" t="s">
        <v>279</v>
      </c>
      <c r="AN14" t="s">
        <v>280</v>
      </c>
      <c r="AP14" t="s">
        <v>281</v>
      </c>
      <c r="AX14" t="s">
        <v>282</v>
      </c>
    </row>
    <row r="15" spans="1:51" x14ac:dyDescent="0.25">
      <c r="B15" s="1" t="s">
        <v>102</v>
      </c>
      <c r="C15" s="1" t="s">
        <v>272</v>
      </c>
      <c r="D15" s="1" t="s">
        <v>273</v>
      </c>
      <c r="G15" t="s">
        <v>274</v>
      </c>
      <c r="H15" t="s">
        <v>294</v>
      </c>
      <c r="I15" s="3" t="s">
        <v>58</v>
      </c>
      <c r="J15" s="1" t="s">
        <v>102</v>
      </c>
      <c r="K15" s="1" t="s">
        <v>59</v>
      </c>
      <c r="L15" s="1" t="s">
        <v>104</v>
      </c>
      <c r="M15" s="1" t="s">
        <v>126</v>
      </c>
      <c r="R15" s="1" t="s">
        <v>276</v>
      </c>
      <c r="T15" s="1" t="s">
        <v>63</v>
      </c>
      <c r="U15" s="1" t="s">
        <v>63</v>
      </c>
      <c r="V15" s="1" t="s">
        <v>59</v>
      </c>
      <c r="W15" s="1" t="s">
        <v>277</v>
      </c>
      <c r="Z15" s="1" t="s">
        <v>278</v>
      </c>
      <c r="AB15" s="1" t="s">
        <v>66</v>
      </c>
      <c r="AH15" t="s">
        <v>279</v>
      </c>
      <c r="AN15" t="s">
        <v>280</v>
      </c>
      <c r="AP15" t="s">
        <v>281</v>
      </c>
      <c r="AX15" t="s">
        <v>282</v>
      </c>
    </row>
    <row r="16" spans="1:51" x14ac:dyDescent="0.25">
      <c r="B16" s="1" t="s">
        <v>105</v>
      </c>
      <c r="C16" s="1" t="s">
        <v>272</v>
      </c>
      <c r="D16" s="1" t="s">
        <v>273</v>
      </c>
      <c r="G16" t="s">
        <v>274</v>
      </c>
      <c r="H16" t="s">
        <v>295</v>
      </c>
      <c r="I16" s="3" t="s">
        <v>58</v>
      </c>
      <c r="J16" s="1" t="s">
        <v>105</v>
      </c>
      <c r="K16" s="1" t="s">
        <v>59</v>
      </c>
      <c r="L16" s="1" t="s">
        <v>107</v>
      </c>
      <c r="M16" s="1" t="s">
        <v>126</v>
      </c>
      <c r="R16" s="1" t="s">
        <v>276</v>
      </c>
      <c r="T16" s="1" t="s">
        <v>63</v>
      </c>
      <c r="U16" s="1" t="s">
        <v>63</v>
      </c>
      <c r="V16" s="1" t="s">
        <v>59</v>
      </c>
      <c r="W16" s="1" t="s">
        <v>277</v>
      </c>
      <c r="Z16" s="1" t="s">
        <v>278</v>
      </c>
      <c r="AB16" s="1" t="s">
        <v>66</v>
      </c>
      <c r="AH16" t="s">
        <v>279</v>
      </c>
      <c r="AN16" t="s">
        <v>280</v>
      </c>
      <c r="AP16" t="s">
        <v>281</v>
      </c>
      <c r="AX16" t="s">
        <v>282</v>
      </c>
    </row>
    <row r="17" spans="2:50" x14ac:dyDescent="0.25">
      <c r="B17" s="1" t="s">
        <v>108</v>
      </c>
      <c r="C17" s="1" t="s">
        <v>272</v>
      </c>
      <c r="D17" s="1" t="s">
        <v>273</v>
      </c>
      <c r="G17" t="s">
        <v>274</v>
      </c>
      <c r="H17" t="s">
        <v>296</v>
      </c>
      <c r="I17" s="3" t="s">
        <v>58</v>
      </c>
      <c r="J17" s="1" t="s">
        <v>108</v>
      </c>
      <c r="K17" s="1" t="s">
        <v>59</v>
      </c>
      <c r="L17" s="1" t="s">
        <v>110</v>
      </c>
      <c r="M17" s="1" t="s">
        <v>126</v>
      </c>
      <c r="R17" s="1" t="s">
        <v>276</v>
      </c>
      <c r="T17" s="1" t="s">
        <v>63</v>
      </c>
      <c r="U17" s="1" t="s">
        <v>63</v>
      </c>
      <c r="V17" s="1" t="s">
        <v>59</v>
      </c>
      <c r="W17" s="1" t="s">
        <v>277</v>
      </c>
      <c r="Z17" s="1" t="s">
        <v>278</v>
      </c>
      <c r="AB17" s="1" t="s">
        <v>66</v>
      </c>
      <c r="AH17" t="s">
        <v>279</v>
      </c>
      <c r="AN17" t="s">
        <v>280</v>
      </c>
      <c r="AP17" t="s">
        <v>281</v>
      </c>
      <c r="AX17" t="s">
        <v>282</v>
      </c>
    </row>
    <row r="18" spans="2:50" x14ac:dyDescent="0.25">
      <c r="B18" s="1" t="s">
        <v>111</v>
      </c>
      <c r="C18" s="1" t="s">
        <v>272</v>
      </c>
      <c r="D18" s="1" t="s">
        <v>273</v>
      </c>
      <c r="G18" t="s">
        <v>274</v>
      </c>
      <c r="H18" t="s">
        <v>297</v>
      </c>
      <c r="I18" s="3" t="s">
        <v>58</v>
      </c>
      <c r="J18" s="1" t="s">
        <v>111</v>
      </c>
      <c r="K18" s="1" t="s">
        <v>59</v>
      </c>
      <c r="L18" s="1" t="s">
        <v>113</v>
      </c>
      <c r="M18" s="1" t="s">
        <v>126</v>
      </c>
      <c r="R18" s="1" t="s">
        <v>276</v>
      </c>
      <c r="T18" s="1" t="s">
        <v>63</v>
      </c>
      <c r="U18" s="1" t="s">
        <v>63</v>
      </c>
      <c r="V18" s="1" t="s">
        <v>59</v>
      </c>
      <c r="W18" s="1" t="s">
        <v>277</v>
      </c>
      <c r="Z18" s="1" t="s">
        <v>278</v>
      </c>
      <c r="AB18" s="1" t="s">
        <v>66</v>
      </c>
      <c r="AH18" t="s">
        <v>279</v>
      </c>
      <c r="AN18" t="s">
        <v>280</v>
      </c>
      <c r="AP18" t="s">
        <v>281</v>
      </c>
      <c r="AX18" t="s">
        <v>282</v>
      </c>
    </row>
    <row r="19" spans="2:50" x14ac:dyDescent="0.25">
      <c r="B19" s="1" t="s">
        <v>114</v>
      </c>
      <c r="C19" s="1" t="s">
        <v>272</v>
      </c>
      <c r="D19" s="1" t="s">
        <v>273</v>
      </c>
      <c r="G19" t="s">
        <v>274</v>
      </c>
      <c r="H19" t="s">
        <v>298</v>
      </c>
      <c r="I19" s="3" t="s">
        <v>58</v>
      </c>
      <c r="J19" s="1" t="s">
        <v>114</v>
      </c>
      <c r="K19" s="1" t="s">
        <v>59</v>
      </c>
      <c r="L19" s="1" t="s">
        <v>116</v>
      </c>
      <c r="M19" s="1" t="s">
        <v>126</v>
      </c>
      <c r="R19" s="1" t="s">
        <v>276</v>
      </c>
      <c r="T19" s="1" t="s">
        <v>63</v>
      </c>
      <c r="U19" s="1" t="s">
        <v>63</v>
      </c>
      <c r="V19" s="1" t="s">
        <v>59</v>
      </c>
      <c r="W19" s="1" t="s">
        <v>277</v>
      </c>
      <c r="Z19" s="1" t="s">
        <v>278</v>
      </c>
      <c r="AB19" s="1" t="s">
        <v>66</v>
      </c>
      <c r="AH19" t="s">
        <v>279</v>
      </c>
      <c r="AN19" t="s">
        <v>280</v>
      </c>
      <c r="AP19" t="s">
        <v>281</v>
      </c>
      <c r="AX19" t="s">
        <v>282</v>
      </c>
    </row>
    <row r="20" spans="2:50" x14ac:dyDescent="0.25">
      <c r="B20" s="1" t="s">
        <v>117</v>
      </c>
      <c r="C20" s="1" t="s">
        <v>272</v>
      </c>
      <c r="D20" s="1" t="s">
        <v>273</v>
      </c>
      <c r="G20" t="s">
        <v>274</v>
      </c>
      <c r="H20" t="s">
        <v>299</v>
      </c>
      <c r="I20" s="3" t="s">
        <v>58</v>
      </c>
      <c r="J20" s="1" t="s">
        <v>117</v>
      </c>
      <c r="K20" s="1" t="s">
        <v>59</v>
      </c>
      <c r="L20" s="1" t="s">
        <v>119</v>
      </c>
      <c r="M20" s="1" t="s">
        <v>126</v>
      </c>
      <c r="R20" s="1" t="s">
        <v>276</v>
      </c>
      <c r="T20" s="1" t="s">
        <v>63</v>
      </c>
      <c r="U20" s="1" t="s">
        <v>63</v>
      </c>
      <c r="V20" s="1" t="s">
        <v>59</v>
      </c>
      <c r="W20" s="1" t="s">
        <v>277</v>
      </c>
      <c r="Z20" s="1" t="s">
        <v>278</v>
      </c>
      <c r="AB20" s="1" t="s">
        <v>66</v>
      </c>
      <c r="AH20" t="s">
        <v>279</v>
      </c>
      <c r="AN20" t="s">
        <v>280</v>
      </c>
      <c r="AP20" t="s">
        <v>281</v>
      </c>
      <c r="AX20" t="s">
        <v>282</v>
      </c>
    </row>
  </sheetData>
  <sheetProtection formatCells="0" formatColumns="0" insertColumns="0" deleteColumns="0"/>
  <dataValidations disablePrompts="1" count="2">
    <dataValidation type="list" allowBlank="1" showInputMessage="1" showErrorMessage="1" sqref="AE3:AE20" xr:uid="{00000000-0002-0000-0400-000000000000}">
      <formula1>"LB,KG"</formula1>
    </dataValidation>
    <dataValidation type="decimal" allowBlank="1" showInputMessage="1" showErrorMessage="1" sqref="AT3:AV20 AN3:AN20 AJ3:AJ20 AD3:AD20 T3:U20 Q3:Q20 L3:L20 J3:J20" xr:uid="{00000000-0002-0000-04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20"/>
  <sheetViews>
    <sheetView topLeftCell="A2" workbookViewId="0">
      <selection activeCell="A19" activeCellId="2" sqref="A15:XFD15 A17:XFD17 A19:XFD19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4.140625" style="1" bestFit="1" customWidth="1"/>
    <col min="4" max="4" width="112.28515625" style="1" bestFit="1" customWidth="1"/>
    <col min="5" max="5" width="3.7109375" style="1" bestFit="1" customWidth="1"/>
    <col min="6" max="6" width="32.42578125" bestFit="1" customWidth="1"/>
    <col min="7" max="7" width="38.28515625" bestFit="1" customWidth="1"/>
    <col min="8" max="8" width="15.85546875" style="1" bestFit="1" customWidth="1"/>
    <col min="9" max="9" width="23" style="1" bestFit="1" customWidth="1"/>
    <col min="10" max="10" width="18.42578125" style="1" bestFit="1" customWidth="1"/>
    <col min="11" max="11" width="22" style="1" bestFit="1" customWidth="1"/>
    <col min="12" max="12" width="14.42578125" style="1" bestFit="1" customWidth="1"/>
    <col min="13" max="13" width="15.5703125" style="1" bestFit="1" customWidth="1"/>
    <col min="14" max="14" width="15.85546875" style="1" bestFit="1" customWidth="1"/>
    <col min="15" max="15" width="12.28515625" style="1" bestFit="1" customWidth="1"/>
    <col min="16" max="16" width="21.5703125" style="1" bestFit="1" customWidth="1"/>
    <col min="17" max="17" width="19.140625" style="1" bestFit="1" customWidth="1"/>
    <col min="18" max="18" width="15" style="1" bestFit="1" customWidth="1"/>
    <col min="19" max="19" width="19.7109375" style="1" bestFit="1" customWidth="1"/>
    <col min="20" max="20" width="24.140625" style="1" bestFit="1" customWidth="1"/>
    <col min="21" max="21" width="16.7109375" style="1" bestFit="1" customWidth="1"/>
    <col min="22" max="22" width="18.5703125" style="1" bestFit="1" customWidth="1"/>
    <col min="23" max="23" width="19.42578125" style="1" bestFit="1" customWidth="1"/>
    <col min="24" max="24" width="9.85546875" style="1" bestFit="1" customWidth="1"/>
    <col min="25" max="25" width="53.5703125" style="1" bestFit="1" customWidth="1"/>
    <col min="26" max="26" width="16.5703125" style="1" bestFit="1" customWidth="1"/>
    <col min="27" max="27" width="8.5703125" style="1" bestFit="1" customWidth="1"/>
    <col min="28" max="28" width="13.28515625" style="1" bestFit="1" customWidth="1"/>
    <col min="29" max="29" width="7.5703125" style="1" bestFit="1" customWidth="1"/>
    <col min="30" max="30" width="11.42578125" style="1" bestFit="1" customWidth="1"/>
    <col min="31" max="32" width="5.28515625" style="1" bestFit="1" customWidth="1"/>
    <col min="33" max="33" width="36.85546875" bestFit="1" customWidth="1"/>
    <col min="34" max="34" width="19" bestFit="1" customWidth="1"/>
    <col min="35" max="35" width="10" bestFit="1" customWidth="1"/>
    <col min="36" max="36" width="13.28515625" style="1" bestFit="1" customWidth="1"/>
    <col min="37" max="37" width="9.7109375" style="1" bestFit="1" customWidth="1"/>
    <col min="38" max="38" width="20.42578125" style="1" bestFit="1" customWidth="1"/>
    <col min="39" max="39" width="20.42578125" bestFit="1" customWidth="1"/>
    <col min="40" max="40" width="22.42578125" style="1" bestFit="1" customWidth="1"/>
    <col min="41" max="41" width="12.42578125" bestFit="1" customWidth="1"/>
    <col min="42" max="42" width="26.85546875" bestFit="1" customWidth="1"/>
    <col min="43" max="43" width="11.42578125" bestFit="1" customWidth="1"/>
    <col min="44" max="44" width="6.42578125" style="1" bestFit="1" customWidth="1"/>
    <col min="45" max="45" width="7" style="1" bestFit="1" customWidth="1"/>
    <col min="46" max="47" width="13.28515625" style="1" bestFit="1" customWidth="1"/>
    <col min="48" max="48" width="11.140625" style="1" bestFit="1" customWidth="1"/>
    <col min="49" max="49" width="14.28515625" bestFit="1" customWidth="1"/>
    <col min="50" max="50" width="22.7109375" bestFit="1" customWidth="1"/>
    <col min="51" max="51" width="9.140625" customWidth="1"/>
  </cols>
  <sheetData>
    <row r="1" spans="1:50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t="s">
        <v>6</v>
      </c>
      <c r="G1" t="s">
        <v>7</v>
      </c>
      <c r="H1" s="3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t="s">
        <v>33</v>
      </c>
      <c r="AH1" t="s">
        <v>34</v>
      </c>
      <c r="AI1" t="s">
        <v>35</v>
      </c>
      <c r="AJ1" s="1" t="s">
        <v>36</v>
      </c>
      <c r="AK1" s="1" t="s">
        <v>37</v>
      </c>
      <c r="AL1" s="1" t="s">
        <v>38</v>
      </c>
      <c r="AM1" t="s">
        <v>39</v>
      </c>
      <c r="AN1" s="1" t="s">
        <v>40</v>
      </c>
      <c r="AO1" t="s">
        <v>41</v>
      </c>
      <c r="AP1" t="s">
        <v>42</v>
      </c>
      <c r="AQ1" t="s">
        <v>43</v>
      </c>
      <c r="AR1" s="1" t="s">
        <v>44</v>
      </c>
      <c r="AS1" s="1" t="s">
        <v>45</v>
      </c>
      <c r="AT1" s="1" t="s">
        <v>269</v>
      </c>
      <c r="AU1" s="1" t="s">
        <v>270</v>
      </c>
      <c r="AV1" s="1" t="s">
        <v>271</v>
      </c>
      <c r="AW1" t="s">
        <v>50</v>
      </c>
      <c r="AX1" t="s">
        <v>51</v>
      </c>
    </row>
    <row r="2" spans="1:50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269</v>
      </c>
      <c r="AU2" s="2" t="s">
        <v>270</v>
      </c>
      <c r="AV2" s="2" t="s">
        <v>271</v>
      </c>
      <c r="AW2" s="2" t="s">
        <v>50</v>
      </c>
      <c r="AX2" s="2" t="s">
        <v>51</v>
      </c>
    </row>
    <row r="3" spans="1:50" x14ac:dyDescent="0.25">
      <c r="B3" s="1" t="s">
        <v>54</v>
      </c>
      <c r="C3" s="1" t="s">
        <v>300</v>
      </c>
      <c r="D3" s="1" t="s">
        <v>301</v>
      </c>
      <c r="F3" t="s">
        <v>121</v>
      </c>
      <c r="G3" t="s">
        <v>302</v>
      </c>
      <c r="H3" s="3" t="s">
        <v>58</v>
      </c>
      <c r="I3" s="1" t="s">
        <v>54</v>
      </c>
      <c r="J3" s="1" t="s">
        <v>59</v>
      </c>
      <c r="K3" s="1" t="s">
        <v>60</v>
      </c>
      <c r="L3" s="1" t="s">
        <v>126</v>
      </c>
      <c r="Q3" s="1" t="s">
        <v>276</v>
      </c>
      <c r="S3" s="1" t="s">
        <v>63</v>
      </c>
      <c r="T3" s="1" t="s">
        <v>63</v>
      </c>
      <c r="U3" s="1" t="s">
        <v>59</v>
      </c>
      <c r="V3" s="1" t="s">
        <v>303</v>
      </c>
      <c r="Y3" s="1" t="s">
        <v>304</v>
      </c>
      <c r="AA3" s="1" t="s">
        <v>66</v>
      </c>
      <c r="AG3" t="s">
        <v>305</v>
      </c>
      <c r="AM3" t="s">
        <v>280</v>
      </c>
      <c r="AO3" t="s">
        <v>281</v>
      </c>
      <c r="AW3" t="s">
        <v>282</v>
      </c>
    </row>
    <row r="4" spans="1:50" x14ac:dyDescent="0.25">
      <c r="B4" s="1" t="s">
        <v>71</v>
      </c>
      <c r="C4" s="1" t="s">
        <v>300</v>
      </c>
      <c r="D4" s="1" t="s">
        <v>301</v>
      </c>
      <c r="F4" t="s">
        <v>121</v>
      </c>
      <c r="G4" t="s">
        <v>306</v>
      </c>
      <c r="H4" s="3" t="s">
        <v>58</v>
      </c>
      <c r="I4" s="1" t="s">
        <v>71</v>
      </c>
      <c r="J4" s="1" t="s">
        <v>59</v>
      </c>
      <c r="K4" s="1" t="s">
        <v>73</v>
      </c>
      <c r="L4" s="1" t="s">
        <v>126</v>
      </c>
      <c r="Q4" s="1" t="s">
        <v>276</v>
      </c>
      <c r="S4" s="1" t="s">
        <v>63</v>
      </c>
      <c r="T4" s="1" t="s">
        <v>63</v>
      </c>
      <c r="U4" s="1" t="s">
        <v>59</v>
      </c>
      <c r="V4" s="1" t="s">
        <v>303</v>
      </c>
      <c r="Y4" s="1" t="s">
        <v>304</v>
      </c>
      <c r="AA4" s="1" t="s">
        <v>66</v>
      </c>
      <c r="AG4" t="s">
        <v>305</v>
      </c>
      <c r="AM4" t="s">
        <v>280</v>
      </c>
      <c r="AO4" t="s">
        <v>281</v>
      </c>
      <c r="AW4" t="s">
        <v>282</v>
      </c>
    </row>
    <row r="5" spans="1:50" x14ac:dyDescent="0.25">
      <c r="B5" s="1" t="s">
        <v>74</v>
      </c>
      <c r="C5" s="1" t="s">
        <v>300</v>
      </c>
      <c r="D5" s="1" t="s">
        <v>301</v>
      </c>
      <c r="F5" t="s">
        <v>121</v>
      </c>
      <c r="G5" t="s">
        <v>307</v>
      </c>
      <c r="H5" s="3" t="s">
        <v>58</v>
      </c>
      <c r="I5" s="1" t="s">
        <v>74</v>
      </c>
      <c r="J5" s="1" t="s">
        <v>59</v>
      </c>
      <c r="K5" s="1" t="s">
        <v>76</v>
      </c>
      <c r="L5" s="1" t="s">
        <v>126</v>
      </c>
      <c r="Q5" s="1" t="s">
        <v>276</v>
      </c>
      <c r="S5" s="1" t="s">
        <v>63</v>
      </c>
      <c r="T5" s="1" t="s">
        <v>63</v>
      </c>
      <c r="U5" s="1" t="s">
        <v>59</v>
      </c>
      <c r="V5" s="1" t="s">
        <v>303</v>
      </c>
      <c r="Y5" s="1" t="s">
        <v>304</v>
      </c>
      <c r="AA5" s="1" t="s">
        <v>66</v>
      </c>
      <c r="AG5" t="s">
        <v>305</v>
      </c>
      <c r="AM5" t="s">
        <v>280</v>
      </c>
      <c r="AO5" t="s">
        <v>281</v>
      </c>
      <c r="AW5" t="s">
        <v>282</v>
      </c>
    </row>
    <row r="6" spans="1:50" x14ac:dyDescent="0.25">
      <c r="B6" s="1" t="s">
        <v>77</v>
      </c>
      <c r="C6" s="1" t="s">
        <v>300</v>
      </c>
      <c r="D6" s="1" t="s">
        <v>301</v>
      </c>
      <c r="F6" t="s">
        <v>121</v>
      </c>
      <c r="G6" t="s">
        <v>308</v>
      </c>
      <c r="H6" s="3" t="s">
        <v>58</v>
      </c>
      <c r="I6" s="1" t="s">
        <v>77</v>
      </c>
      <c r="J6" s="1" t="s">
        <v>59</v>
      </c>
      <c r="K6" s="1" t="s">
        <v>79</v>
      </c>
      <c r="L6" s="1" t="s">
        <v>126</v>
      </c>
      <c r="Q6" s="1" t="s">
        <v>276</v>
      </c>
      <c r="S6" s="1" t="s">
        <v>63</v>
      </c>
      <c r="T6" s="1" t="s">
        <v>63</v>
      </c>
      <c r="U6" s="1" t="s">
        <v>59</v>
      </c>
      <c r="V6" s="1" t="s">
        <v>303</v>
      </c>
      <c r="Y6" s="1" t="s">
        <v>304</v>
      </c>
      <c r="AA6" s="1" t="s">
        <v>66</v>
      </c>
      <c r="AG6" t="s">
        <v>305</v>
      </c>
      <c r="AM6" t="s">
        <v>280</v>
      </c>
      <c r="AO6" t="s">
        <v>281</v>
      </c>
      <c r="AW6" t="s">
        <v>282</v>
      </c>
    </row>
    <row r="7" spans="1:50" x14ac:dyDescent="0.25">
      <c r="B7" s="1" t="s">
        <v>62</v>
      </c>
      <c r="C7" s="1" t="s">
        <v>300</v>
      </c>
      <c r="D7" s="1" t="s">
        <v>301</v>
      </c>
      <c r="F7" t="s">
        <v>121</v>
      </c>
      <c r="G7" t="s">
        <v>309</v>
      </c>
      <c r="H7" s="3" t="s">
        <v>58</v>
      </c>
      <c r="I7" s="1" t="s">
        <v>62</v>
      </c>
      <c r="J7" s="1" t="s">
        <v>59</v>
      </c>
      <c r="K7" s="1" t="s">
        <v>82</v>
      </c>
      <c r="L7" s="1" t="s">
        <v>126</v>
      </c>
      <c r="Q7" s="1" t="s">
        <v>276</v>
      </c>
      <c r="S7" s="1" t="s">
        <v>63</v>
      </c>
      <c r="T7" s="1" t="s">
        <v>63</v>
      </c>
      <c r="U7" s="1" t="s">
        <v>59</v>
      </c>
      <c r="V7" s="1" t="s">
        <v>303</v>
      </c>
      <c r="Y7" s="1" t="s">
        <v>304</v>
      </c>
      <c r="AA7" s="1" t="s">
        <v>66</v>
      </c>
      <c r="AG7" t="s">
        <v>305</v>
      </c>
      <c r="AM7" t="s">
        <v>280</v>
      </c>
      <c r="AO7" t="s">
        <v>281</v>
      </c>
      <c r="AW7" t="s">
        <v>282</v>
      </c>
    </row>
    <row r="8" spans="1:50" x14ac:dyDescent="0.25">
      <c r="B8" s="1" t="s">
        <v>83</v>
      </c>
      <c r="C8" s="1" t="s">
        <v>300</v>
      </c>
      <c r="D8" s="1" t="s">
        <v>301</v>
      </c>
      <c r="F8" t="s">
        <v>121</v>
      </c>
      <c r="G8" t="s">
        <v>310</v>
      </c>
      <c r="H8" s="3" t="s">
        <v>58</v>
      </c>
      <c r="I8" s="1" t="s">
        <v>83</v>
      </c>
      <c r="J8" s="1" t="s">
        <v>59</v>
      </c>
      <c r="K8" s="1" t="s">
        <v>85</v>
      </c>
      <c r="L8" s="1" t="s">
        <v>126</v>
      </c>
      <c r="Q8" s="1" t="s">
        <v>276</v>
      </c>
      <c r="S8" s="1" t="s">
        <v>63</v>
      </c>
      <c r="T8" s="1" t="s">
        <v>63</v>
      </c>
      <c r="U8" s="1" t="s">
        <v>59</v>
      </c>
      <c r="V8" s="1" t="s">
        <v>303</v>
      </c>
      <c r="Y8" s="1" t="s">
        <v>304</v>
      </c>
      <c r="AA8" s="1" t="s">
        <v>66</v>
      </c>
      <c r="AG8" t="s">
        <v>305</v>
      </c>
      <c r="AM8" t="s">
        <v>280</v>
      </c>
      <c r="AO8" t="s">
        <v>281</v>
      </c>
      <c r="AW8" t="s">
        <v>282</v>
      </c>
    </row>
    <row r="9" spans="1:50" x14ac:dyDescent="0.25">
      <c r="B9" s="1" t="s">
        <v>86</v>
      </c>
      <c r="C9" s="1" t="s">
        <v>300</v>
      </c>
      <c r="D9" s="1" t="s">
        <v>301</v>
      </c>
      <c r="F9" t="s">
        <v>121</v>
      </c>
      <c r="G9" t="s">
        <v>311</v>
      </c>
      <c r="H9" s="3" t="s">
        <v>58</v>
      </c>
      <c r="I9" s="1" t="s">
        <v>86</v>
      </c>
      <c r="J9" s="1" t="s">
        <v>59</v>
      </c>
      <c r="K9" s="1" t="s">
        <v>88</v>
      </c>
      <c r="L9" s="1" t="s">
        <v>126</v>
      </c>
      <c r="Q9" s="1" t="s">
        <v>276</v>
      </c>
      <c r="S9" s="1" t="s">
        <v>63</v>
      </c>
      <c r="T9" s="1" t="s">
        <v>63</v>
      </c>
      <c r="U9" s="1" t="s">
        <v>59</v>
      </c>
      <c r="V9" s="1" t="s">
        <v>303</v>
      </c>
      <c r="Y9" s="1" t="s">
        <v>304</v>
      </c>
      <c r="AA9" s="1" t="s">
        <v>66</v>
      </c>
      <c r="AG9" t="s">
        <v>305</v>
      </c>
      <c r="AM9" t="s">
        <v>280</v>
      </c>
      <c r="AO9" t="s">
        <v>281</v>
      </c>
      <c r="AW9" t="s">
        <v>282</v>
      </c>
    </row>
    <row r="10" spans="1:50" x14ac:dyDescent="0.25">
      <c r="B10" s="1" t="s">
        <v>89</v>
      </c>
      <c r="C10" s="1" t="s">
        <v>300</v>
      </c>
      <c r="D10" s="1" t="s">
        <v>301</v>
      </c>
      <c r="F10" t="s">
        <v>121</v>
      </c>
      <c r="G10" t="s">
        <v>312</v>
      </c>
      <c r="H10" s="3" t="s">
        <v>58</v>
      </c>
      <c r="I10" s="1" t="s">
        <v>89</v>
      </c>
      <c r="J10" s="1" t="s">
        <v>59</v>
      </c>
      <c r="K10" s="1" t="s">
        <v>91</v>
      </c>
      <c r="L10" s="1" t="s">
        <v>126</v>
      </c>
      <c r="Q10" s="1" t="s">
        <v>276</v>
      </c>
      <c r="S10" s="1" t="s">
        <v>63</v>
      </c>
      <c r="T10" s="1" t="s">
        <v>63</v>
      </c>
      <c r="U10" s="1" t="s">
        <v>59</v>
      </c>
      <c r="V10" s="1" t="s">
        <v>303</v>
      </c>
      <c r="Y10" s="1" t="s">
        <v>304</v>
      </c>
      <c r="AA10" s="1" t="s">
        <v>66</v>
      </c>
      <c r="AG10" t="s">
        <v>305</v>
      </c>
      <c r="AM10" t="s">
        <v>280</v>
      </c>
      <c r="AO10" t="s">
        <v>281</v>
      </c>
      <c r="AW10" t="s">
        <v>282</v>
      </c>
    </row>
    <row r="11" spans="1:50" x14ac:dyDescent="0.25">
      <c r="B11" s="1" t="s">
        <v>92</v>
      </c>
      <c r="C11" s="1" t="s">
        <v>300</v>
      </c>
      <c r="D11" s="1" t="s">
        <v>301</v>
      </c>
      <c r="F11" t="s">
        <v>121</v>
      </c>
      <c r="G11" t="s">
        <v>313</v>
      </c>
      <c r="H11" s="3" t="s">
        <v>58</v>
      </c>
      <c r="I11" s="1" t="s">
        <v>92</v>
      </c>
      <c r="J11" s="1" t="s">
        <v>59</v>
      </c>
      <c r="K11" s="1" t="s">
        <v>92</v>
      </c>
      <c r="L11" s="1" t="s">
        <v>126</v>
      </c>
      <c r="Q11" s="1" t="s">
        <v>276</v>
      </c>
      <c r="S11" s="1" t="s">
        <v>63</v>
      </c>
      <c r="T11" s="1" t="s">
        <v>63</v>
      </c>
      <c r="U11" s="1" t="s">
        <v>59</v>
      </c>
      <c r="V11" s="1" t="s">
        <v>303</v>
      </c>
      <c r="Y11" s="1" t="s">
        <v>304</v>
      </c>
      <c r="AA11" s="1" t="s">
        <v>66</v>
      </c>
      <c r="AG11" t="s">
        <v>305</v>
      </c>
      <c r="AM11" t="s">
        <v>280</v>
      </c>
      <c r="AO11" t="s">
        <v>281</v>
      </c>
      <c r="AW11" t="s">
        <v>282</v>
      </c>
    </row>
    <row r="12" spans="1:50" x14ac:dyDescent="0.25">
      <c r="B12" s="1" t="s">
        <v>94</v>
      </c>
      <c r="C12" s="1" t="s">
        <v>300</v>
      </c>
      <c r="D12" s="1" t="s">
        <v>301</v>
      </c>
      <c r="F12" t="s">
        <v>121</v>
      </c>
      <c r="G12" t="s">
        <v>314</v>
      </c>
      <c r="H12" s="3" t="s">
        <v>58</v>
      </c>
      <c r="I12" s="1" t="s">
        <v>94</v>
      </c>
      <c r="J12" s="1" t="s">
        <v>59</v>
      </c>
      <c r="K12" s="1" t="s">
        <v>96</v>
      </c>
      <c r="L12" s="1" t="s">
        <v>126</v>
      </c>
      <c r="Q12" s="1" t="s">
        <v>276</v>
      </c>
      <c r="S12" s="1" t="s">
        <v>63</v>
      </c>
      <c r="T12" s="1" t="s">
        <v>63</v>
      </c>
      <c r="U12" s="1" t="s">
        <v>59</v>
      </c>
      <c r="V12" s="1" t="s">
        <v>303</v>
      </c>
      <c r="Y12" s="1" t="s">
        <v>304</v>
      </c>
      <c r="AA12" s="1" t="s">
        <v>66</v>
      </c>
      <c r="AG12" t="s">
        <v>305</v>
      </c>
      <c r="AM12" t="s">
        <v>280</v>
      </c>
      <c r="AO12" t="s">
        <v>281</v>
      </c>
      <c r="AW12" t="s">
        <v>282</v>
      </c>
    </row>
    <row r="13" spans="1:50" x14ac:dyDescent="0.25">
      <c r="B13" s="1" t="s">
        <v>97</v>
      </c>
      <c r="C13" s="1" t="s">
        <v>300</v>
      </c>
      <c r="D13" s="1" t="s">
        <v>301</v>
      </c>
      <c r="F13" t="s">
        <v>121</v>
      </c>
      <c r="G13" t="s">
        <v>315</v>
      </c>
      <c r="H13" s="3" t="s">
        <v>58</v>
      </c>
      <c r="I13" s="1" t="s">
        <v>97</v>
      </c>
      <c r="J13" s="1" t="s">
        <v>59</v>
      </c>
      <c r="K13" s="1" t="s">
        <v>97</v>
      </c>
      <c r="L13" s="1" t="s">
        <v>126</v>
      </c>
      <c r="Q13" s="1" t="s">
        <v>276</v>
      </c>
      <c r="S13" s="1" t="s">
        <v>63</v>
      </c>
      <c r="T13" s="1" t="s">
        <v>63</v>
      </c>
      <c r="U13" s="1" t="s">
        <v>59</v>
      </c>
      <c r="V13" s="1" t="s">
        <v>303</v>
      </c>
      <c r="Y13" s="1" t="s">
        <v>304</v>
      </c>
      <c r="AA13" s="1" t="s">
        <v>66</v>
      </c>
      <c r="AG13" t="s">
        <v>305</v>
      </c>
      <c r="AM13" t="s">
        <v>280</v>
      </c>
      <c r="AO13" t="s">
        <v>281</v>
      </c>
      <c r="AW13" t="s">
        <v>282</v>
      </c>
    </row>
    <row r="14" spans="1:50" x14ac:dyDescent="0.25">
      <c r="B14" s="1" t="s">
        <v>99</v>
      </c>
      <c r="C14" s="1" t="s">
        <v>300</v>
      </c>
      <c r="D14" s="1" t="s">
        <v>301</v>
      </c>
      <c r="F14" t="s">
        <v>121</v>
      </c>
      <c r="G14" t="s">
        <v>316</v>
      </c>
      <c r="H14" s="3" t="s">
        <v>58</v>
      </c>
      <c r="I14" s="1" t="s">
        <v>99</v>
      </c>
      <c r="J14" s="1" t="s">
        <v>59</v>
      </c>
      <c r="K14" s="1" t="s">
        <v>101</v>
      </c>
      <c r="L14" s="1" t="s">
        <v>126</v>
      </c>
      <c r="Q14" s="1" t="s">
        <v>276</v>
      </c>
      <c r="S14" s="1" t="s">
        <v>63</v>
      </c>
      <c r="T14" s="1" t="s">
        <v>63</v>
      </c>
      <c r="U14" s="1" t="s">
        <v>59</v>
      </c>
      <c r="V14" s="1" t="s">
        <v>303</v>
      </c>
      <c r="Y14" s="1" t="s">
        <v>304</v>
      </c>
      <c r="AA14" s="1" t="s">
        <v>66</v>
      </c>
      <c r="AG14" t="s">
        <v>305</v>
      </c>
      <c r="AM14" t="s">
        <v>280</v>
      </c>
      <c r="AO14" t="s">
        <v>281</v>
      </c>
      <c r="AW14" t="s">
        <v>282</v>
      </c>
    </row>
    <row r="15" spans="1:50" x14ac:dyDescent="0.25">
      <c r="B15" s="1" t="s">
        <v>102</v>
      </c>
      <c r="C15" s="1" t="s">
        <v>300</v>
      </c>
      <c r="D15" s="1" t="s">
        <v>301</v>
      </c>
      <c r="F15" t="s">
        <v>121</v>
      </c>
      <c r="G15" t="s">
        <v>317</v>
      </c>
      <c r="H15" s="3" t="s">
        <v>58</v>
      </c>
      <c r="I15" s="1" t="s">
        <v>102</v>
      </c>
      <c r="J15" s="1" t="s">
        <v>59</v>
      </c>
      <c r="K15" s="1" t="s">
        <v>104</v>
      </c>
      <c r="L15" s="1" t="s">
        <v>126</v>
      </c>
      <c r="Q15" s="1" t="s">
        <v>276</v>
      </c>
      <c r="S15" s="1" t="s">
        <v>63</v>
      </c>
      <c r="T15" s="1" t="s">
        <v>63</v>
      </c>
      <c r="U15" s="1" t="s">
        <v>59</v>
      </c>
      <c r="V15" s="1" t="s">
        <v>303</v>
      </c>
      <c r="Y15" s="1" t="s">
        <v>304</v>
      </c>
      <c r="AA15" s="1" t="s">
        <v>66</v>
      </c>
      <c r="AG15" t="s">
        <v>305</v>
      </c>
      <c r="AM15" t="s">
        <v>280</v>
      </c>
      <c r="AO15" t="s">
        <v>281</v>
      </c>
      <c r="AW15" t="s">
        <v>282</v>
      </c>
    </row>
    <row r="16" spans="1:50" x14ac:dyDescent="0.25">
      <c r="B16" s="1" t="s">
        <v>105</v>
      </c>
      <c r="C16" s="1" t="s">
        <v>300</v>
      </c>
      <c r="D16" s="1" t="s">
        <v>301</v>
      </c>
      <c r="F16" t="s">
        <v>121</v>
      </c>
      <c r="G16" t="s">
        <v>318</v>
      </c>
      <c r="H16" s="3" t="s">
        <v>58</v>
      </c>
      <c r="I16" s="1" t="s">
        <v>105</v>
      </c>
      <c r="J16" s="1" t="s">
        <v>59</v>
      </c>
      <c r="K16" s="1" t="s">
        <v>107</v>
      </c>
      <c r="L16" s="1" t="s">
        <v>126</v>
      </c>
      <c r="Q16" s="1" t="s">
        <v>276</v>
      </c>
      <c r="S16" s="1" t="s">
        <v>63</v>
      </c>
      <c r="T16" s="1" t="s">
        <v>63</v>
      </c>
      <c r="U16" s="1" t="s">
        <v>59</v>
      </c>
      <c r="V16" s="1" t="s">
        <v>303</v>
      </c>
      <c r="Y16" s="1" t="s">
        <v>304</v>
      </c>
      <c r="AA16" s="1" t="s">
        <v>66</v>
      </c>
      <c r="AG16" t="s">
        <v>305</v>
      </c>
      <c r="AM16" t="s">
        <v>280</v>
      </c>
      <c r="AO16" t="s">
        <v>281</v>
      </c>
      <c r="AW16" t="s">
        <v>282</v>
      </c>
    </row>
    <row r="17" spans="2:49" x14ac:dyDescent="0.25">
      <c r="B17" s="1" t="s">
        <v>108</v>
      </c>
      <c r="C17" s="1" t="s">
        <v>300</v>
      </c>
      <c r="D17" s="1" t="s">
        <v>301</v>
      </c>
      <c r="F17" t="s">
        <v>121</v>
      </c>
      <c r="G17" t="s">
        <v>319</v>
      </c>
      <c r="H17" s="3" t="s">
        <v>58</v>
      </c>
      <c r="I17" s="1" t="s">
        <v>108</v>
      </c>
      <c r="J17" s="1" t="s">
        <v>59</v>
      </c>
      <c r="K17" s="1" t="s">
        <v>110</v>
      </c>
      <c r="L17" s="1" t="s">
        <v>126</v>
      </c>
      <c r="Q17" s="1" t="s">
        <v>276</v>
      </c>
      <c r="S17" s="1" t="s">
        <v>63</v>
      </c>
      <c r="T17" s="1" t="s">
        <v>63</v>
      </c>
      <c r="U17" s="1" t="s">
        <v>59</v>
      </c>
      <c r="V17" s="1" t="s">
        <v>303</v>
      </c>
      <c r="Y17" s="1" t="s">
        <v>304</v>
      </c>
      <c r="AA17" s="1" t="s">
        <v>66</v>
      </c>
      <c r="AG17" t="s">
        <v>305</v>
      </c>
      <c r="AM17" t="s">
        <v>280</v>
      </c>
      <c r="AO17" t="s">
        <v>281</v>
      </c>
      <c r="AW17" t="s">
        <v>282</v>
      </c>
    </row>
    <row r="18" spans="2:49" x14ac:dyDescent="0.25">
      <c r="B18" s="1" t="s">
        <v>111</v>
      </c>
      <c r="C18" s="1" t="s">
        <v>300</v>
      </c>
      <c r="D18" s="1" t="s">
        <v>301</v>
      </c>
      <c r="F18" t="s">
        <v>121</v>
      </c>
      <c r="G18" t="s">
        <v>320</v>
      </c>
      <c r="H18" s="3" t="s">
        <v>58</v>
      </c>
      <c r="I18" s="1" t="s">
        <v>111</v>
      </c>
      <c r="J18" s="1" t="s">
        <v>59</v>
      </c>
      <c r="K18" s="1" t="s">
        <v>113</v>
      </c>
      <c r="L18" s="1" t="s">
        <v>126</v>
      </c>
      <c r="Q18" s="1" t="s">
        <v>276</v>
      </c>
      <c r="S18" s="1" t="s">
        <v>63</v>
      </c>
      <c r="T18" s="1" t="s">
        <v>63</v>
      </c>
      <c r="U18" s="1" t="s">
        <v>59</v>
      </c>
      <c r="V18" s="1" t="s">
        <v>303</v>
      </c>
      <c r="Y18" s="1" t="s">
        <v>304</v>
      </c>
      <c r="AA18" s="1" t="s">
        <v>66</v>
      </c>
      <c r="AG18" t="s">
        <v>305</v>
      </c>
      <c r="AM18" t="s">
        <v>280</v>
      </c>
      <c r="AO18" t="s">
        <v>281</v>
      </c>
      <c r="AW18" t="s">
        <v>282</v>
      </c>
    </row>
    <row r="19" spans="2:49" x14ac:dyDescent="0.25">
      <c r="B19" s="1" t="s">
        <v>114</v>
      </c>
      <c r="C19" s="1" t="s">
        <v>300</v>
      </c>
      <c r="D19" s="1" t="s">
        <v>301</v>
      </c>
      <c r="F19" t="s">
        <v>121</v>
      </c>
      <c r="G19" t="s">
        <v>321</v>
      </c>
      <c r="H19" s="3" t="s">
        <v>58</v>
      </c>
      <c r="I19" s="1" t="s">
        <v>114</v>
      </c>
      <c r="J19" s="1" t="s">
        <v>59</v>
      </c>
      <c r="K19" s="1" t="s">
        <v>116</v>
      </c>
      <c r="L19" s="1" t="s">
        <v>126</v>
      </c>
      <c r="Q19" s="1" t="s">
        <v>276</v>
      </c>
      <c r="S19" s="1" t="s">
        <v>63</v>
      </c>
      <c r="T19" s="1" t="s">
        <v>63</v>
      </c>
      <c r="U19" s="1" t="s">
        <v>59</v>
      </c>
      <c r="V19" s="1" t="s">
        <v>303</v>
      </c>
      <c r="Y19" s="1" t="s">
        <v>304</v>
      </c>
      <c r="AA19" s="1" t="s">
        <v>66</v>
      </c>
      <c r="AG19" t="s">
        <v>305</v>
      </c>
      <c r="AM19" t="s">
        <v>280</v>
      </c>
      <c r="AO19" t="s">
        <v>281</v>
      </c>
      <c r="AW19" t="s">
        <v>282</v>
      </c>
    </row>
    <row r="20" spans="2:49" x14ac:dyDescent="0.25">
      <c r="B20" s="1" t="s">
        <v>117</v>
      </c>
      <c r="C20" s="1" t="s">
        <v>300</v>
      </c>
      <c r="D20" s="1" t="s">
        <v>301</v>
      </c>
      <c r="F20" t="s">
        <v>121</v>
      </c>
      <c r="G20" t="s">
        <v>322</v>
      </c>
      <c r="H20" s="3" t="s">
        <v>58</v>
      </c>
      <c r="I20" s="1" t="s">
        <v>117</v>
      </c>
      <c r="J20" s="1" t="s">
        <v>59</v>
      </c>
      <c r="K20" s="1" t="s">
        <v>119</v>
      </c>
      <c r="L20" s="1" t="s">
        <v>126</v>
      </c>
      <c r="Q20" s="1" t="s">
        <v>276</v>
      </c>
      <c r="S20" s="1" t="s">
        <v>63</v>
      </c>
      <c r="T20" s="1" t="s">
        <v>63</v>
      </c>
      <c r="U20" s="1" t="s">
        <v>59</v>
      </c>
      <c r="V20" s="1" t="s">
        <v>303</v>
      </c>
      <c r="Y20" s="1" t="s">
        <v>304</v>
      </c>
      <c r="AA20" s="1" t="s">
        <v>66</v>
      </c>
      <c r="AG20" t="s">
        <v>305</v>
      </c>
      <c r="AM20" t="s">
        <v>280</v>
      </c>
      <c r="AO20" t="s">
        <v>281</v>
      </c>
      <c r="AW20" t="s">
        <v>282</v>
      </c>
    </row>
  </sheetData>
  <sheetProtection formatCells="0" formatColumns="0" insertColumns="0" deleteColumns="0"/>
  <dataValidations count="2">
    <dataValidation type="list" allowBlank="1" showInputMessage="1" showErrorMessage="1" sqref="AD3:AD20" xr:uid="{00000000-0002-0000-0500-000000000000}">
      <formula1>"LB,KG"</formula1>
    </dataValidation>
    <dataValidation type="decimal" allowBlank="1" showInputMessage="1" showErrorMessage="1" sqref="AS3:AU20 AM3:AM20 AI3:AI20 AC3:AC20 S3:T20 P3:P20 K3:K20 I3:I20" xr:uid="{00000000-0002-0000-05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20"/>
  <sheetViews>
    <sheetView topLeftCell="A2" workbookViewId="0">
      <selection activeCell="A2" sqref="A1:XFD1048576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8.28515625" style="1" bestFit="1" customWidth="1"/>
    <col min="4" max="4" width="116.42578125" style="1" bestFit="1" customWidth="1"/>
    <col min="5" max="5" width="3.7109375" style="1" bestFit="1" customWidth="1"/>
    <col min="6" max="6" width="4.7109375" style="1" bestFit="1" customWidth="1"/>
    <col min="7" max="7" width="32.42578125" bestFit="1" customWidth="1"/>
    <col min="8" max="8" width="37.42578125" bestFit="1" customWidth="1"/>
    <col min="9" max="9" width="15.85546875" style="1" bestFit="1" customWidth="1"/>
    <col min="10" max="10" width="23" style="1" bestFit="1" customWidth="1"/>
    <col min="11" max="11" width="18.42578125" style="1" bestFit="1" customWidth="1"/>
    <col min="12" max="12" width="22" style="1" bestFit="1" customWidth="1"/>
    <col min="13" max="13" width="14.42578125" style="1" bestFit="1" customWidth="1"/>
    <col min="14" max="14" width="15.5703125" style="1" bestFit="1" customWidth="1"/>
    <col min="15" max="15" width="15.85546875" style="1" bestFit="1" customWidth="1"/>
    <col min="16" max="16" width="12.28515625" style="1" bestFit="1" customWidth="1"/>
    <col min="17" max="17" width="21.5703125" style="1" bestFit="1" customWidth="1"/>
    <col min="18" max="18" width="19.140625" style="1" bestFit="1" customWidth="1"/>
    <col min="19" max="19" width="15" style="1" bestFit="1" customWidth="1"/>
    <col min="20" max="20" width="19.7109375" style="1" bestFit="1" customWidth="1"/>
    <col min="21" max="21" width="24.140625" style="1" bestFit="1" customWidth="1"/>
    <col min="22" max="22" width="16.7109375" style="1" bestFit="1" customWidth="1"/>
    <col min="23" max="23" width="22.7109375" style="1" bestFit="1" customWidth="1"/>
    <col min="24" max="24" width="19.42578125" style="1" bestFit="1" customWidth="1"/>
    <col min="25" max="25" width="9.85546875" style="1" bestFit="1" customWidth="1"/>
    <col min="26" max="26" width="56.85546875" style="1" bestFit="1" customWidth="1"/>
    <col min="27" max="27" width="16.5703125" style="1" bestFit="1" customWidth="1"/>
    <col min="28" max="28" width="8.5703125" style="1" bestFit="1" customWidth="1"/>
    <col min="29" max="29" width="13.28515625" style="1" bestFit="1" customWidth="1"/>
    <col min="30" max="30" width="7.5703125" style="1" bestFit="1" customWidth="1"/>
    <col min="31" max="31" width="11.42578125" style="1" bestFit="1" customWidth="1"/>
    <col min="32" max="33" width="5.28515625" style="1" bestFit="1" customWidth="1"/>
    <col min="34" max="34" width="36.7109375" bestFit="1" customWidth="1"/>
    <col min="35" max="35" width="19" bestFit="1" customWidth="1"/>
    <col min="36" max="36" width="10" bestFit="1" customWidth="1"/>
    <col min="37" max="37" width="13.28515625" style="1" bestFit="1" customWidth="1"/>
    <col min="38" max="38" width="9.7109375" style="1" bestFit="1" customWidth="1"/>
    <col min="39" max="39" width="20.42578125" style="1" bestFit="1" customWidth="1"/>
    <col min="40" max="40" width="20.42578125" bestFit="1" customWidth="1"/>
    <col min="41" max="41" width="22.42578125" style="1" bestFit="1" customWidth="1"/>
    <col min="42" max="42" width="12.42578125" bestFit="1" customWidth="1"/>
    <col min="43" max="43" width="26.85546875" bestFit="1" customWidth="1"/>
    <col min="44" max="44" width="11.42578125" bestFit="1" customWidth="1"/>
    <col min="45" max="45" width="6.42578125" style="1" bestFit="1" customWidth="1"/>
    <col min="46" max="46" width="7" style="1" bestFit="1" customWidth="1"/>
    <col min="47" max="48" width="13.28515625" style="1" bestFit="1" customWidth="1"/>
    <col min="49" max="49" width="11.140625" style="1" bestFit="1" customWidth="1"/>
    <col min="50" max="50" width="14.28515625" bestFit="1" customWidth="1"/>
    <col min="51" max="51" width="22.7109375" bestFit="1" customWidth="1"/>
    <col min="52" max="52" width="9.140625" customWidth="1"/>
  </cols>
  <sheetData>
    <row r="1" spans="1:51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s="1" t="s">
        <v>268</v>
      </c>
      <c r="G1" t="s">
        <v>6</v>
      </c>
      <c r="H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t="s">
        <v>39</v>
      </c>
      <c r="AO1" s="1" t="s">
        <v>40</v>
      </c>
      <c r="AP1" t="s">
        <v>41</v>
      </c>
      <c r="AQ1" t="s">
        <v>42</v>
      </c>
      <c r="AR1" t="s">
        <v>43</v>
      </c>
      <c r="AS1" s="1" t="s">
        <v>44</v>
      </c>
      <c r="AT1" s="1" t="s">
        <v>45</v>
      </c>
      <c r="AU1" s="1" t="s">
        <v>269</v>
      </c>
      <c r="AV1" s="1" t="s">
        <v>270</v>
      </c>
      <c r="AW1" s="1" t="s">
        <v>271</v>
      </c>
      <c r="AX1" t="s">
        <v>50</v>
      </c>
      <c r="AY1" t="s">
        <v>51</v>
      </c>
    </row>
    <row r="2" spans="1:51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268</v>
      </c>
      <c r="G2" s="2" t="s">
        <v>6</v>
      </c>
      <c r="H2" s="2" t="s">
        <v>7</v>
      </c>
      <c r="I2" s="4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269</v>
      </c>
      <c r="AV2" s="2" t="s">
        <v>270</v>
      </c>
      <c r="AW2" s="2" t="s">
        <v>271</v>
      </c>
      <c r="AX2" s="2" t="s">
        <v>50</v>
      </c>
      <c r="AY2" s="2" t="s">
        <v>51</v>
      </c>
    </row>
    <row r="3" spans="1:51" x14ac:dyDescent="0.25">
      <c r="B3" s="1" t="s">
        <v>54</v>
      </c>
      <c r="C3" s="1" t="s">
        <v>323</v>
      </c>
      <c r="D3" s="1" t="s">
        <v>324</v>
      </c>
      <c r="G3" t="s">
        <v>274</v>
      </c>
      <c r="H3" t="s">
        <v>325</v>
      </c>
      <c r="I3" s="3" t="s">
        <v>58</v>
      </c>
      <c r="J3" s="1" t="s">
        <v>54</v>
      </c>
      <c r="K3" s="1" t="s">
        <v>59</v>
      </c>
      <c r="L3" s="1" t="s">
        <v>60</v>
      </c>
      <c r="M3" s="1" t="s">
        <v>61</v>
      </c>
      <c r="S3" s="1" t="s">
        <v>62</v>
      </c>
      <c r="T3" s="1" t="s">
        <v>63</v>
      </c>
      <c r="U3" s="1" t="s">
        <v>63</v>
      </c>
      <c r="V3" s="1" t="s">
        <v>59</v>
      </c>
      <c r="W3" s="1" t="s">
        <v>326</v>
      </c>
      <c r="Z3" s="1" t="s">
        <v>327</v>
      </c>
      <c r="AB3" s="1" t="s">
        <v>66</v>
      </c>
      <c r="AH3" t="s">
        <v>328</v>
      </c>
      <c r="AN3" t="s">
        <v>280</v>
      </c>
      <c r="AP3" t="s">
        <v>281</v>
      </c>
      <c r="AX3" t="s">
        <v>282</v>
      </c>
    </row>
    <row r="4" spans="1:51" x14ac:dyDescent="0.25">
      <c r="B4" s="1" t="s">
        <v>71</v>
      </c>
      <c r="C4" s="1" t="s">
        <v>323</v>
      </c>
      <c r="D4" s="1" t="s">
        <v>324</v>
      </c>
      <c r="G4" t="s">
        <v>274</v>
      </c>
      <c r="H4" t="s">
        <v>329</v>
      </c>
      <c r="I4" s="3" t="s">
        <v>58</v>
      </c>
      <c r="J4" s="1" t="s">
        <v>71</v>
      </c>
      <c r="K4" s="1" t="s">
        <v>59</v>
      </c>
      <c r="L4" s="1" t="s">
        <v>73</v>
      </c>
      <c r="M4" s="1" t="s">
        <v>61</v>
      </c>
      <c r="S4" s="1" t="s">
        <v>62</v>
      </c>
      <c r="T4" s="1" t="s">
        <v>63</v>
      </c>
      <c r="U4" s="1" t="s">
        <v>63</v>
      </c>
      <c r="V4" s="1" t="s">
        <v>59</v>
      </c>
      <c r="W4" s="1" t="s">
        <v>326</v>
      </c>
      <c r="Z4" s="1" t="s">
        <v>327</v>
      </c>
      <c r="AB4" s="1" t="s">
        <v>66</v>
      </c>
      <c r="AH4" t="s">
        <v>328</v>
      </c>
      <c r="AN4" t="s">
        <v>280</v>
      </c>
      <c r="AP4" t="s">
        <v>281</v>
      </c>
      <c r="AX4" t="s">
        <v>282</v>
      </c>
    </row>
    <row r="5" spans="1:51" x14ac:dyDescent="0.25">
      <c r="B5" s="1" t="s">
        <v>74</v>
      </c>
      <c r="C5" s="1" t="s">
        <v>323</v>
      </c>
      <c r="D5" s="1" t="s">
        <v>324</v>
      </c>
      <c r="G5" t="s">
        <v>274</v>
      </c>
      <c r="H5" t="s">
        <v>330</v>
      </c>
      <c r="I5" s="3" t="s">
        <v>58</v>
      </c>
      <c r="J5" s="1" t="s">
        <v>74</v>
      </c>
      <c r="K5" s="1" t="s">
        <v>59</v>
      </c>
      <c r="L5" s="1" t="s">
        <v>76</v>
      </c>
      <c r="M5" s="1" t="s">
        <v>61</v>
      </c>
      <c r="S5" s="1" t="s">
        <v>62</v>
      </c>
      <c r="T5" s="1" t="s">
        <v>63</v>
      </c>
      <c r="U5" s="1" t="s">
        <v>63</v>
      </c>
      <c r="V5" s="1" t="s">
        <v>59</v>
      </c>
      <c r="W5" s="1" t="s">
        <v>326</v>
      </c>
      <c r="Z5" s="1" t="s">
        <v>327</v>
      </c>
      <c r="AB5" s="1" t="s">
        <v>66</v>
      </c>
      <c r="AH5" t="s">
        <v>328</v>
      </c>
      <c r="AN5" t="s">
        <v>280</v>
      </c>
      <c r="AP5" t="s">
        <v>281</v>
      </c>
      <c r="AX5" t="s">
        <v>282</v>
      </c>
    </row>
    <row r="6" spans="1:51" x14ac:dyDescent="0.25">
      <c r="B6" s="1" t="s">
        <v>77</v>
      </c>
      <c r="C6" s="1" t="s">
        <v>323</v>
      </c>
      <c r="D6" s="1" t="s">
        <v>324</v>
      </c>
      <c r="G6" t="s">
        <v>274</v>
      </c>
      <c r="H6" t="s">
        <v>331</v>
      </c>
      <c r="I6" s="3" t="s">
        <v>58</v>
      </c>
      <c r="J6" s="1" t="s">
        <v>77</v>
      </c>
      <c r="K6" s="1" t="s">
        <v>59</v>
      </c>
      <c r="L6" s="1" t="s">
        <v>79</v>
      </c>
      <c r="M6" s="1" t="s">
        <v>61</v>
      </c>
      <c r="S6" s="1" t="s">
        <v>62</v>
      </c>
      <c r="T6" s="1" t="s">
        <v>63</v>
      </c>
      <c r="U6" s="1" t="s">
        <v>63</v>
      </c>
      <c r="V6" s="1" t="s">
        <v>59</v>
      </c>
      <c r="W6" s="1" t="s">
        <v>326</v>
      </c>
      <c r="Z6" s="1" t="s">
        <v>327</v>
      </c>
      <c r="AB6" s="1" t="s">
        <v>66</v>
      </c>
      <c r="AH6" t="s">
        <v>328</v>
      </c>
      <c r="AN6" t="s">
        <v>280</v>
      </c>
      <c r="AP6" t="s">
        <v>281</v>
      </c>
      <c r="AX6" t="s">
        <v>282</v>
      </c>
    </row>
    <row r="7" spans="1:51" x14ac:dyDescent="0.25">
      <c r="B7" s="1" t="s">
        <v>62</v>
      </c>
      <c r="C7" s="1" t="s">
        <v>323</v>
      </c>
      <c r="D7" s="1" t="s">
        <v>324</v>
      </c>
      <c r="G7" t="s">
        <v>274</v>
      </c>
      <c r="H7" t="s">
        <v>332</v>
      </c>
      <c r="I7" s="3" t="s">
        <v>58</v>
      </c>
      <c r="J7" s="1" t="s">
        <v>62</v>
      </c>
      <c r="K7" s="1" t="s">
        <v>59</v>
      </c>
      <c r="L7" s="1" t="s">
        <v>82</v>
      </c>
      <c r="M7" s="1" t="s">
        <v>61</v>
      </c>
      <c r="S7" s="1" t="s">
        <v>62</v>
      </c>
      <c r="T7" s="1" t="s">
        <v>63</v>
      </c>
      <c r="U7" s="1" t="s">
        <v>63</v>
      </c>
      <c r="V7" s="1" t="s">
        <v>59</v>
      </c>
      <c r="W7" s="1" t="s">
        <v>326</v>
      </c>
      <c r="Z7" s="1" t="s">
        <v>327</v>
      </c>
      <c r="AB7" s="1" t="s">
        <v>66</v>
      </c>
      <c r="AH7" t="s">
        <v>328</v>
      </c>
      <c r="AN7" t="s">
        <v>280</v>
      </c>
      <c r="AP7" t="s">
        <v>281</v>
      </c>
      <c r="AX7" t="s">
        <v>282</v>
      </c>
    </row>
    <row r="8" spans="1:51" x14ac:dyDescent="0.25">
      <c r="B8" s="1" t="s">
        <v>83</v>
      </c>
      <c r="C8" s="1" t="s">
        <v>323</v>
      </c>
      <c r="D8" s="1" t="s">
        <v>324</v>
      </c>
      <c r="G8" t="s">
        <v>274</v>
      </c>
      <c r="H8" t="s">
        <v>333</v>
      </c>
      <c r="I8" s="3" t="s">
        <v>58</v>
      </c>
      <c r="J8" s="1" t="s">
        <v>83</v>
      </c>
      <c r="K8" s="1" t="s">
        <v>59</v>
      </c>
      <c r="L8" s="1" t="s">
        <v>85</v>
      </c>
      <c r="M8" s="1" t="s">
        <v>61</v>
      </c>
      <c r="S8" s="1" t="s">
        <v>62</v>
      </c>
      <c r="T8" s="1" t="s">
        <v>63</v>
      </c>
      <c r="U8" s="1" t="s">
        <v>63</v>
      </c>
      <c r="V8" s="1" t="s">
        <v>59</v>
      </c>
      <c r="W8" s="1" t="s">
        <v>326</v>
      </c>
      <c r="Z8" s="1" t="s">
        <v>327</v>
      </c>
      <c r="AB8" s="1" t="s">
        <v>66</v>
      </c>
      <c r="AH8" t="s">
        <v>328</v>
      </c>
      <c r="AN8" t="s">
        <v>280</v>
      </c>
      <c r="AP8" t="s">
        <v>281</v>
      </c>
      <c r="AX8" t="s">
        <v>282</v>
      </c>
    </row>
    <row r="9" spans="1:51" x14ac:dyDescent="0.25">
      <c r="B9" s="1" t="s">
        <v>86</v>
      </c>
      <c r="C9" s="1" t="s">
        <v>323</v>
      </c>
      <c r="D9" s="1" t="s">
        <v>324</v>
      </c>
      <c r="G9" t="s">
        <v>274</v>
      </c>
      <c r="H9" t="s">
        <v>334</v>
      </c>
      <c r="I9" s="3" t="s">
        <v>58</v>
      </c>
      <c r="J9" s="1" t="s">
        <v>86</v>
      </c>
      <c r="K9" s="1" t="s">
        <v>59</v>
      </c>
      <c r="L9" s="1" t="s">
        <v>88</v>
      </c>
      <c r="M9" s="1" t="s">
        <v>61</v>
      </c>
      <c r="S9" s="1" t="s">
        <v>62</v>
      </c>
      <c r="T9" s="1" t="s">
        <v>63</v>
      </c>
      <c r="U9" s="1" t="s">
        <v>63</v>
      </c>
      <c r="V9" s="1" t="s">
        <v>59</v>
      </c>
      <c r="W9" s="1" t="s">
        <v>326</v>
      </c>
      <c r="Z9" s="1" t="s">
        <v>327</v>
      </c>
      <c r="AB9" s="1" t="s">
        <v>66</v>
      </c>
      <c r="AH9" t="s">
        <v>328</v>
      </c>
      <c r="AN9" t="s">
        <v>280</v>
      </c>
      <c r="AP9" t="s">
        <v>281</v>
      </c>
      <c r="AX9" t="s">
        <v>282</v>
      </c>
    </row>
    <row r="10" spans="1:51" x14ac:dyDescent="0.25">
      <c r="B10" s="1" t="s">
        <v>89</v>
      </c>
      <c r="C10" s="1" t="s">
        <v>323</v>
      </c>
      <c r="D10" s="1" t="s">
        <v>324</v>
      </c>
      <c r="G10" t="s">
        <v>274</v>
      </c>
      <c r="H10" t="s">
        <v>335</v>
      </c>
      <c r="I10" s="3" t="s">
        <v>58</v>
      </c>
      <c r="J10" s="1" t="s">
        <v>89</v>
      </c>
      <c r="K10" s="1" t="s">
        <v>59</v>
      </c>
      <c r="L10" s="1" t="s">
        <v>91</v>
      </c>
      <c r="M10" s="1" t="s">
        <v>61</v>
      </c>
      <c r="S10" s="1" t="s">
        <v>62</v>
      </c>
      <c r="T10" s="1" t="s">
        <v>63</v>
      </c>
      <c r="U10" s="1" t="s">
        <v>63</v>
      </c>
      <c r="V10" s="1" t="s">
        <v>59</v>
      </c>
      <c r="W10" s="1" t="s">
        <v>326</v>
      </c>
      <c r="Z10" s="1" t="s">
        <v>327</v>
      </c>
      <c r="AB10" s="1" t="s">
        <v>66</v>
      </c>
      <c r="AH10" t="s">
        <v>328</v>
      </c>
      <c r="AN10" t="s">
        <v>280</v>
      </c>
      <c r="AP10" t="s">
        <v>281</v>
      </c>
      <c r="AX10" t="s">
        <v>282</v>
      </c>
    </row>
    <row r="11" spans="1:51" x14ac:dyDescent="0.25">
      <c r="B11" s="1" t="s">
        <v>92</v>
      </c>
      <c r="C11" s="1" t="s">
        <v>323</v>
      </c>
      <c r="D11" s="1" t="s">
        <v>324</v>
      </c>
      <c r="G11" t="s">
        <v>274</v>
      </c>
      <c r="H11" t="s">
        <v>336</v>
      </c>
      <c r="I11" s="3" t="s">
        <v>58</v>
      </c>
      <c r="J11" s="1" t="s">
        <v>92</v>
      </c>
      <c r="K11" s="1" t="s">
        <v>59</v>
      </c>
      <c r="L11" s="1" t="s">
        <v>92</v>
      </c>
      <c r="M11" s="1" t="s">
        <v>61</v>
      </c>
      <c r="S11" s="1" t="s">
        <v>62</v>
      </c>
      <c r="T11" s="1" t="s">
        <v>63</v>
      </c>
      <c r="U11" s="1" t="s">
        <v>63</v>
      </c>
      <c r="V11" s="1" t="s">
        <v>59</v>
      </c>
      <c r="W11" s="1" t="s">
        <v>326</v>
      </c>
      <c r="Z11" s="1" t="s">
        <v>327</v>
      </c>
      <c r="AB11" s="1" t="s">
        <v>66</v>
      </c>
      <c r="AH11" t="s">
        <v>328</v>
      </c>
      <c r="AN11" t="s">
        <v>280</v>
      </c>
      <c r="AP11" t="s">
        <v>281</v>
      </c>
      <c r="AX11" t="s">
        <v>282</v>
      </c>
    </row>
    <row r="12" spans="1:51" x14ac:dyDescent="0.25">
      <c r="B12" s="1" t="s">
        <v>94</v>
      </c>
      <c r="C12" s="1" t="s">
        <v>323</v>
      </c>
      <c r="D12" s="1" t="s">
        <v>324</v>
      </c>
      <c r="G12" t="s">
        <v>274</v>
      </c>
      <c r="H12" t="s">
        <v>337</v>
      </c>
      <c r="I12" s="3" t="s">
        <v>58</v>
      </c>
      <c r="J12" s="1" t="s">
        <v>94</v>
      </c>
      <c r="K12" s="1" t="s">
        <v>59</v>
      </c>
      <c r="L12" s="1" t="s">
        <v>96</v>
      </c>
      <c r="M12" s="1" t="s">
        <v>61</v>
      </c>
      <c r="S12" s="1" t="s">
        <v>62</v>
      </c>
      <c r="T12" s="1" t="s">
        <v>63</v>
      </c>
      <c r="U12" s="1" t="s">
        <v>63</v>
      </c>
      <c r="V12" s="1" t="s">
        <v>59</v>
      </c>
      <c r="W12" s="1" t="s">
        <v>326</v>
      </c>
      <c r="Z12" s="1" t="s">
        <v>327</v>
      </c>
      <c r="AB12" s="1" t="s">
        <v>66</v>
      </c>
      <c r="AH12" t="s">
        <v>328</v>
      </c>
      <c r="AN12" t="s">
        <v>280</v>
      </c>
      <c r="AP12" t="s">
        <v>281</v>
      </c>
      <c r="AX12" t="s">
        <v>282</v>
      </c>
    </row>
    <row r="13" spans="1:51" x14ac:dyDescent="0.25">
      <c r="B13" s="1" t="s">
        <v>97</v>
      </c>
      <c r="C13" s="1" t="s">
        <v>323</v>
      </c>
      <c r="D13" s="1" t="s">
        <v>324</v>
      </c>
      <c r="G13" t="s">
        <v>274</v>
      </c>
      <c r="H13" t="s">
        <v>338</v>
      </c>
      <c r="I13" s="3" t="s">
        <v>58</v>
      </c>
      <c r="J13" s="1" t="s">
        <v>97</v>
      </c>
      <c r="K13" s="1" t="s">
        <v>59</v>
      </c>
      <c r="L13" s="1" t="s">
        <v>97</v>
      </c>
      <c r="M13" s="1" t="s">
        <v>61</v>
      </c>
      <c r="S13" s="1" t="s">
        <v>62</v>
      </c>
      <c r="T13" s="1" t="s">
        <v>63</v>
      </c>
      <c r="U13" s="1" t="s">
        <v>63</v>
      </c>
      <c r="V13" s="1" t="s">
        <v>59</v>
      </c>
      <c r="W13" s="1" t="s">
        <v>326</v>
      </c>
      <c r="Z13" s="1" t="s">
        <v>327</v>
      </c>
      <c r="AB13" s="1" t="s">
        <v>66</v>
      </c>
      <c r="AH13" t="s">
        <v>328</v>
      </c>
      <c r="AN13" t="s">
        <v>280</v>
      </c>
      <c r="AP13" t="s">
        <v>281</v>
      </c>
      <c r="AX13" t="s">
        <v>282</v>
      </c>
    </row>
    <row r="14" spans="1:51" x14ac:dyDescent="0.25">
      <c r="B14" s="1" t="s">
        <v>99</v>
      </c>
      <c r="C14" s="1" t="s">
        <v>323</v>
      </c>
      <c r="D14" s="1" t="s">
        <v>324</v>
      </c>
      <c r="G14" t="s">
        <v>274</v>
      </c>
      <c r="H14" t="s">
        <v>339</v>
      </c>
      <c r="I14" s="3" t="s">
        <v>58</v>
      </c>
      <c r="J14" s="1" t="s">
        <v>99</v>
      </c>
      <c r="K14" s="1" t="s">
        <v>59</v>
      </c>
      <c r="L14" s="1" t="s">
        <v>101</v>
      </c>
      <c r="M14" s="1" t="s">
        <v>61</v>
      </c>
      <c r="S14" s="1" t="s">
        <v>62</v>
      </c>
      <c r="T14" s="1" t="s">
        <v>63</v>
      </c>
      <c r="U14" s="1" t="s">
        <v>63</v>
      </c>
      <c r="V14" s="1" t="s">
        <v>59</v>
      </c>
      <c r="W14" s="1" t="s">
        <v>326</v>
      </c>
      <c r="Z14" s="1" t="s">
        <v>327</v>
      </c>
      <c r="AB14" s="1" t="s">
        <v>66</v>
      </c>
      <c r="AH14" t="s">
        <v>328</v>
      </c>
      <c r="AN14" t="s">
        <v>280</v>
      </c>
      <c r="AP14" t="s">
        <v>281</v>
      </c>
      <c r="AX14" t="s">
        <v>282</v>
      </c>
    </row>
    <row r="15" spans="1:51" x14ac:dyDescent="0.25">
      <c r="B15" s="1" t="s">
        <v>102</v>
      </c>
      <c r="C15" s="1" t="s">
        <v>323</v>
      </c>
      <c r="D15" s="1" t="s">
        <v>324</v>
      </c>
      <c r="G15" t="s">
        <v>274</v>
      </c>
      <c r="H15" t="s">
        <v>340</v>
      </c>
      <c r="I15" s="3" t="s">
        <v>58</v>
      </c>
      <c r="J15" s="1" t="s">
        <v>102</v>
      </c>
      <c r="K15" s="1" t="s">
        <v>59</v>
      </c>
      <c r="L15" s="1" t="s">
        <v>104</v>
      </c>
      <c r="M15" s="1" t="s">
        <v>61</v>
      </c>
      <c r="S15" s="1" t="s">
        <v>62</v>
      </c>
      <c r="T15" s="1" t="s">
        <v>63</v>
      </c>
      <c r="U15" s="1" t="s">
        <v>63</v>
      </c>
      <c r="V15" s="1" t="s">
        <v>59</v>
      </c>
      <c r="W15" s="1" t="s">
        <v>326</v>
      </c>
      <c r="Z15" s="1" t="s">
        <v>327</v>
      </c>
      <c r="AB15" s="1" t="s">
        <v>66</v>
      </c>
      <c r="AH15" t="s">
        <v>328</v>
      </c>
      <c r="AN15" t="s">
        <v>280</v>
      </c>
      <c r="AP15" t="s">
        <v>281</v>
      </c>
      <c r="AX15" t="s">
        <v>282</v>
      </c>
    </row>
    <row r="16" spans="1:51" x14ac:dyDescent="0.25">
      <c r="B16" s="1" t="s">
        <v>105</v>
      </c>
      <c r="C16" s="1" t="s">
        <v>323</v>
      </c>
      <c r="D16" s="1" t="s">
        <v>324</v>
      </c>
      <c r="G16" t="s">
        <v>274</v>
      </c>
      <c r="H16" t="s">
        <v>341</v>
      </c>
      <c r="I16" s="3" t="s">
        <v>58</v>
      </c>
      <c r="J16" s="1" t="s">
        <v>105</v>
      </c>
      <c r="K16" s="1" t="s">
        <v>59</v>
      </c>
      <c r="L16" s="1" t="s">
        <v>107</v>
      </c>
      <c r="M16" s="1" t="s">
        <v>61</v>
      </c>
      <c r="S16" s="1" t="s">
        <v>62</v>
      </c>
      <c r="T16" s="1" t="s">
        <v>63</v>
      </c>
      <c r="U16" s="1" t="s">
        <v>63</v>
      </c>
      <c r="V16" s="1" t="s">
        <v>59</v>
      </c>
      <c r="W16" s="1" t="s">
        <v>326</v>
      </c>
      <c r="Z16" s="1" t="s">
        <v>327</v>
      </c>
      <c r="AB16" s="1" t="s">
        <v>66</v>
      </c>
      <c r="AH16" t="s">
        <v>328</v>
      </c>
      <c r="AN16" t="s">
        <v>280</v>
      </c>
      <c r="AP16" t="s">
        <v>281</v>
      </c>
      <c r="AX16" t="s">
        <v>282</v>
      </c>
    </row>
    <row r="17" spans="2:50" x14ac:dyDescent="0.25">
      <c r="B17" s="1" t="s">
        <v>108</v>
      </c>
      <c r="C17" s="1" t="s">
        <v>323</v>
      </c>
      <c r="D17" s="1" t="s">
        <v>324</v>
      </c>
      <c r="G17" t="s">
        <v>274</v>
      </c>
      <c r="H17" t="s">
        <v>342</v>
      </c>
      <c r="I17" s="3" t="s">
        <v>58</v>
      </c>
      <c r="J17" s="1" t="s">
        <v>108</v>
      </c>
      <c r="K17" s="1" t="s">
        <v>59</v>
      </c>
      <c r="L17" s="1" t="s">
        <v>110</v>
      </c>
      <c r="M17" s="1" t="s">
        <v>61</v>
      </c>
      <c r="S17" s="1" t="s">
        <v>62</v>
      </c>
      <c r="T17" s="1" t="s">
        <v>63</v>
      </c>
      <c r="U17" s="1" t="s">
        <v>63</v>
      </c>
      <c r="V17" s="1" t="s">
        <v>59</v>
      </c>
      <c r="W17" s="1" t="s">
        <v>326</v>
      </c>
      <c r="Z17" s="1" t="s">
        <v>327</v>
      </c>
      <c r="AB17" s="1" t="s">
        <v>66</v>
      </c>
      <c r="AH17" t="s">
        <v>328</v>
      </c>
      <c r="AN17" t="s">
        <v>280</v>
      </c>
      <c r="AP17" t="s">
        <v>281</v>
      </c>
      <c r="AX17" t="s">
        <v>282</v>
      </c>
    </row>
    <row r="18" spans="2:50" x14ac:dyDescent="0.25">
      <c r="B18" s="1" t="s">
        <v>111</v>
      </c>
      <c r="C18" s="1" t="s">
        <v>323</v>
      </c>
      <c r="D18" s="1" t="s">
        <v>324</v>
      </c>
      <c r="G18" t="s">
        <v>274</v>
      </c>
      <c r="H18" t="s">
        <v>343</v>
      </c>
      <c r="I18" s="3" t="s">
        <v>58</v>
      </c>
      <c r="J18" s="1" t="s">
        <v>111</v>
      </c>
      <c r="K18" s="1" t="s">
        <v>59</v>
      </c>
      <c r="L18" s="1" t="s">
        <v>113</v>
      </c>
      <c r="M18" s="1" t="s">
        <v>61</v>
      </c>
      <c r="S18" s="1" t="s">
        <v>62</v>
      </c>
      <c r="T18" s="1" t="s">
        <v>63</v>
      </c>
      <c r="U18" s="1" t="s">
        <v>63</v>
      </c>
      <c r="V18" s="1" t="s">
        <v>59</v>
      </c>
      <c r="W18" s="1" t="s">
        <v>326</v>
      </c>
      <c r="Z18" s="1" t="s">
        <v>327</v>
      </c>
      <c r="AB18" s="1" t="s">
        <v>66</v>
      </c>
      <c r="AH18" t="s">
        <v>328</v>
      </c>
      <c r="AN18" t="s">
        <v>280</v>
      </c>
      <c r="AP18" t="s">
        <v>281</v>
      </c>
      <c r="AX18" t="s">
        <v>282</v>
      </c>
    </row>
    <row r="19" spans="2:50" x14ac:dyDescent="0.25">
      <c r="B19" s="1" t="s">
        <v>114</v>
      </c>
      <c r="C19" s="1" t="s">
        <v>323</v>
      </c>
      <c r="D19" s="1" t="s">
        <v>324</v>
      </c>
      <c r="G19" t="s">
        <v>274</v>
      </c>
      <c r="H19" t="s">
        <v>344</v>
      </c>
      <c r="I19" s="3" t="s">
        <v>58</v>
      </c>
      <c r="J19" s="1" t="s">
        <v>114</v>
      </c>
      <c r="K19" s="1" t="s">
        <v>59</v>
      </c>
      <c r="L19" s="1" t="s">
        <v>116</v>
      </c>
      <c r="M19" s="1" t="s">
        <v>61</v>
      </c>
      <c r="S19" s="1" t="s">
        <v>62</v>
      </c>
      <c r="T19" s="1" t="s">
        <v>63</v>
      </c>
      <c r="U19" s="1" t="s">
        <v>63</v>
      </c>
      <c r="V19" s="1" t="s">
        <v>59</v>
      </c>
      <c r="W19" s="1" t="s">
        <v>326</v>
      </c>
      <c r="Z19" s="1" t="s">
        <v>327</v>
      </c>
      <c r="AB19" s="1" t="s">
        <v>66</v>
      </c>
      <c r="AH19" t="s">
        <v>328</v>
      </c>
      <c r="AN19" t="s">
        <v>280</v>
      </c>
      <c r="AP19" t="s">
        <v>281</v>
      </c>
      <c r="AX19" t="s">
        <v>282</v>
      </c>
    </row>
    <row r="20" spans="2:50" x14ac:dyDescent="0.25">
      <c r="B20" s="1" t="s">
        <v>117</v>
      </c>
      <c r="C20" s="1" t="s">
        <v>323</v>
      </c>
      <c r="D20" s="1" t="s">
        <v>324</v>
      </c>
      <c r="G20" t="s">
        <v>274</v>
      </c>
      <c r="H20" t="s">
        <v>345</v>
      </c>
      <c r="I20" s="3" t="s">
        <v>58</v>
      </c>
      <c r="J20" s="1" t="s">
        <v>117</v>
      </c>
      <c r="K20" s="1" t="s">
        <v>59</v>
      </c>
      <c r="L20" s="1" t="s">
        <v>119</v>
      </c>
      <c r="M20" s="1" t="s">
        <v>61</v>
      </c>
      <c r="S20" s="1" t="s">
        <v>62</v>
      </c>
      <c r="T20" s="1" t="s">
        <v>63</v>
      </c>
      <c r="U20" s="1" t="s">
        <v>63</v>
      </c>
      <c r="V20" s="1" t="s">
        <v>59</v>
      </c>
      <c r="W20" s="1" t="s">
        <v>326</v>
      </c>
      <c r="Z20" s="1" t="s">
        <v>327</v>
      </c>
      <c r="AB20" s="1" t="s">
        <v>66</v>
      </c>
      <c r="AH20" t="s">
        <v>328</v>
      </c>
      <c r="AN20" t="s">
        <v>280</v>
      </c>
      <c r="AP20" t="s">
        <v>281</v>
      </c>
      <c r="AX20" t="s">
        <v>282</v>
      </c>
    </row>
  </sheetData>
  <sheetProtection formatCells="0" formatColumns="0" insertColumns="0" deleteColumns="0"/>
  <dataValidations count="2">
    <dataValidation type="list" allowBlank="1" showInputMessage="1" showErrorMessage="1" sqref="AE3:AE20" xr:uid="{00000000-0002-0000-0600-000000000000}">
      <formula1>"LB,KG"</formula1>
    </dataValidation>
    <dataValidation type="decimal" allowBlank="1" showInputMessage="1" showErrorMessage="1" sqref="AT3:AV20 AN3:AN20 AJ3:AJ20 AD3:AD20 T3:U20 Q3:Q20 L3:L20 J3:J20" xr:uid="{00000000-0002-0000-06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20"/>
  <sheetViews>
    <sheetView topLeftCell="A2" workbookViewId="0">
      <selection activeCell="A2" sqref="A1:XFD1048576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3.7109375" style="1" bestFit="1" customWidth="1"/>
    <col min="4" max="4" width="111.85546875" style="1" bestFit="1" customWidth="1"/>
    <col min="5" max="5" width="3.7109375" style="1" bestFit="1" customWidth="1"/>
    <col min="6" max="6" width="32.42578125" bestFit="1" customWidth="1"/>
    <col min="7" max="7" width="37.5703125" bestFit="1" customWidth="1"/>
    <col min="8" max="8" width="15.85546875" style="1" bestFit="1" customWidth="1"/>
    <col min="9" max="9" width="23" style="1" bestFit="1" customWidth="1"/>
    <col min="10" max="10" width="18.42578125" style="1" bestFit="1" customWidth="1"/>
    <col min="11" max="11" width="22" style="1" bestFit="1" customWidth="1"/>
    <col min="12" max="12" width="14.42578125" style="1" bestFit="1" customWidth="1"/>
    <col min="13" max="13" width="15.5703125" style="1" bestFit="1" customWidth="1"/>
    <col min="14" max="14" width="15.85546875" style="1" bestFit="1" customWidth="1"/>
    <col min="15" max="15" width="12.28515625" style="1" bestFit="1" customWidth="1"/>
    <col min="16" max="16" width="21.5703125" style="1" bestFit="1" customWidth="1"/>
    <col min="17" max="17" width="19.140625" style="1" bestFit="1" customWidth="1"/>
    <col min="18" max="18" width="15" style="1" bestFit="1" customWidth="1"/>
    <col min="19" max="19" width="19.7109375" style="1" bestFit="1" customWidth="1"/>
    <col min="20" max="20" width="24.140625" style="1" bestFit="1" customWidth="1"/>
    <col min="21" max="21" width="16.7109375" style="1" bestFit="1" customWidth="1"/>
    <col min="22" max="22" width="18.140625" style="1" bestFit="1" customWidth="1"/>
    <col min="23" max="23" width="19.42578125" style="1" bestFit="1" customWidth="1"/>
    <col min="24" max="24" width="9.85546875" style="1" bestFit="1" customWidth="1"/>
    <col min="25" max="25" width="58.42578125" style="1" bestFit="1" customWidth="1"/>
    <col min="26" max="26" width="16.5703125" style="1" bestFit="1" customWidth="1"/>
    <col min="27" max="27" width="8.5703125" style="1" bestFit="1" customWidth="1"/>
    <col min="28" max="28" width="13.28515625" style="1" bestFit="1" customWidth="1"/>
    <col min="29" max="29" width="7.5703125" style="1" bestFit="1" customWidth="1"/>
    <col min="30" max="30" width="11.42578125" style="1" bestFit="1" customWidth="1"/>
    <col min="31" max="32" width="5.28515625" style="1" bestFit="1" customWidth="1"/>
    <col min="33" max="33" width="36.5703125" bestFit="1" customWidth="1"/>
    <col min="34" max="34" width="19" bestFit="1" customWidth="1"/>
    <col min="35" max="35" width="10" bestFit="1" customWidth="1"/>
    <col min="36" max="36" width="13.28515625" style="1" bestFit="1" customWidth="1"/>
    <col min="37" max="37" width="9.7109375" style="1" bestFit="1" customWidth="1"/>
    <col min="38" max="38" width="20.42578125" style="1" bestFit="1" customWidth="1"/>
    <col min="39" max="39" width="20.42578125" bestFit="1" customWidth="1"/>
    <col min="40" max="40" width="22.42578125" style="1" bestFit="1" customWidth="1"/>
    <col min="41" max="41" width="12.42578125" bestFit="1" customWidth="1"/>
    <col min="42" max="42" width="26.85546875" bestFit="1" customWidth="1"/>
    <col min="43" max="43" width="11.42578125" bestFit="1" customWidth="1"/>
    <col min="44" max="44" width="6.42578125" style="1" bestFit="1" customWidth="1"/>
    <col min="45" max="45" width="7" style="1" bestFit="1" customWidth="1"/>
    <col min="46" max="47" width="13.28515625" style="1" bestFit="1" customWidth="1"/>
    <col min="48" max="48" width="11.140625" style="1" bestFit="1" customWidth="1"/>
    <col min="49" max="49" width="14.28515625" bestFit="1" customWidth="1"/>
    <col min="50" max="50" width="22.7109375" bestFit="1" customWidth="1"/>
    <col min="51" max="51" width="9.140625" customWidth="1"/>
  </cols>
  <sheetData>
    <row r="1" spans="1:50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t="s">
        <v>6</v>
      </c>
      <c r="G1" t="s">
        <v>7</v>
      </c>
      <c r="H1" s="3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t="s">
        <v>33</v>
      </c>
      <c r="AH1" t="s">
        <v>34</v>
      </c>
      <c r="AI1" t="s">
        <v>35</v>
      </c>
      <c r="AJ1" s="1" t="s">
        <v>36</v>
      </c>
      <c r="AK1" s="1" t="s">
        <v>37</v>
      </c>
      <c r="AL1" s="1" t="s">
        <v>38</v>
      </c>
      <c r="AM1" t="s">
        <v>39</v>
      </c>
      <c r="AN1" s="1" t="s">
        <v>40</v>
      </c>
      <c r="AO1" t="s">
        <v>41</v>
      </c>
      <c r="AP1" t="s">
        <v>42</v>
      </c>
      <c r="AQ1" t="s">
        <v>43</v>
      </c>
      <c r="AR1" s="1" t="s">
        <v>44</v>
      </c>
      <c r="AS1" s="1" t="s">
        <v>45</v>
      </c>
      <c r="AT1" s="1" t="s">
        <v>269</v>
      </c>
      <c r="AU1" s="1" t="s">
        <v>270</v>
      </c>
      <c r="AV1" s="1" t="s">
        <v>271</v>
      </c>
      <c r="AW1" t="s">
        <v>50</v>
      </c>
      <c r="AX1" t="s">
        <v>51</v>
      </c>
    </row>
    <row r="2" spans="1:50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269</v>
      </c>
      <c r="AU2" s="2" t="s">
        <v>270</v>
      </c>
      <c r="AV2" s="2" t="s">
        <v>271</v>
      </c>
      <c r="AW2" s="2" t="s">
        <v>50</v>
      </c>
      <c r="AX2" s="2" t="s">
        <v>51</v>
      </c>
    </row>
    <row r="3" spans="1:50" x14ac:dyDescent="0.25">
      <c r="B3" s="1" t="s">
        <v>54</v>
      </c>
      <c r="C3" s="1" t="s">
        <v>346</v>
      </c>
      <c r="D3" s="1" t="s">
        <v>347</v>
      </c>
      <c r="F3" t="s">
        <v>121</v>
      </c>
      <c r="G3" t="s">
        <v>348</v>
      </c>
      <c r="H3" s="3" t="s">
        <v>58</v>
      </c>
      <c r="I3" s="1" t="s">
        <v>54</v>
      </c>
      <c r="J3" s="1" t="s">
        <v>59</v>
      </c>
      <c r="K3" s="1" t="s">
        <v>60</v>
      </c>
      <c r="L3" s="1" t="s">
        <v>61</v>
      </c>
      <c r="S3" s="1" t="s">
        <v>63</v>
      </c>
      <c r="T3" s="1" t="s">
        <v>63</v>
      </c>
      <c r="U3" s="1" t="s">
        <v>59</v>
      </c>
      <c r="V3" s="1" t="s">
        <v>349</v>
      </c>
      <c r="Y3" s="1" t="s">
        <v>350</v>
      </c>
      <c r="AA3" s="1" t="s">
        <v>66</v>
      </c>
      <c r="AG3" t="s">
        <v>351</v>
      </c>
      <c r="AM3" t="s">
        <v>280</v>
      </c>
      <c r="AO3" t="s">
        <v>281</v>
      </c>
      <c r="AW3" t="s">
        <v>282</v>
      </c>
    </row>
    <row r="4" spans="1:50" x14ac:dyDescent="0.25">
      <c r="B4" s="1" t="s">
        <v>71</v>
      </c>
      <c r="C4" s="1" t="s">
        <v>346</v>
      </c>
      <c r="D4" s="1" t="s">
        <v>347</v>
      </c>
      <c r="F4" t="s">
        <v>121</v>
      </c>
      <c r="G4" t="s">
        <v>352</v>
      </c>
      <c r="H4" s="3" t="s">
        <v>58</v>
      </c>
      <c r="I4" s="1" t="s">
        <v>71</v>
      </c>
      <c r="J4" s="1" t="s">
        <v>59</v>
      </c>
      <c r="K4" s="1" t="s">
        <v>73</v>
      </c>
      <c r="L4" s="1" t="s">
        <v>61</v>
      </c>
      <c r="S4" s="1" t="s">
        <v>63</v>
      </c>
      <c r="T4" s="1" t="s">
        <v>63</v>
      </c>
      <c r="U4" s="1" t="s">
        <v>59</v>
      </c>
      <c r="V4" s="1" t="s">
        <v>349</v>
      </c>
      <c r="Y4" s="1" t="s">
        <v>350</v>
      </c>
      <c r="AA4" s="1" t="s">
        <v>66</v>
      </c>
      <c r="AG4" t="s">
        <v>351</v>
      </c>
      <c r="AM4" t="s">
        <v>280</v>
      </c>
      <c r="AO4" t="s">
        <v>281</v>
      </c>
      <c r="AW4" t="s">
        <v>282</v>
      </c>
    </row>
    <row r="5" spans="1:50" x14ac:dyDescent="0.25">
      <c r="B5" s="1" t="s">
        <v>74</v>
      </c>
      <c r="C5" s="1" t="s">
        <v>346</v>
      </c>
      <c r="D5" s="1" t="s">
        <v>347</v>
      </c>
      <c r="F5" t="s">
        <v>121</v>
      </c>
      <c r="G5" t="s">
        <v>353</v>
      </c>
      <c r="H5" s="3" t="s">
        <v>58</v>
      </c>
      <c r="I5" s="1" t="s">
        <v>74</v>
      </c>
      <c r="J5" s="1" t="s">
        <v>59</v>
      </c>
      <c r="K5" s="1" t="s">
        <v>76</v>
      </c>
      <c r="L5" s="1" t="s">
        <v>61</v>
      </c>
      <c r="S5" s="1" t="s">
        <v>63</v>
      </c>
      <c r="T5" s="1" t="s">
        <v>63</v>
      </c>
      <c r="U5" s="1" t="s">
        <v>59</v>
      </c>
      <c r="V5" s="1" t="s">
        <v>349</v>
      </c>
      <c r="Y5" s="1" t="s">
        <v>350</v>
      </c>
      <c r="AA5" s="1" t="s">
        <v>66</v>
      </c>
      <c r="AG5" t="s">
        <v>351</v>
      </c>
      <c r="AM5" t="s">
        <v>280</v>
      </c>
      <c r="AO5" t="s">
        <v>281</v>
      </c>
      <c r="AW5" t="s">
        <v>282</v>
      </c>
    </row>
    <row r="6" spans="1:50" x14ac:dyDescent="0.25">
      <c r="B6" s="1" t="s">
        <v>77</v>
      </c>
      <c r="C6" s="1" t="s">
        <v>346</v>
      </c>
      <c r="D6" s="1" t="s">
        <v>347</v>
      </c>
      <c r="F6" t="s">
        <v>121</v>
      </c>
      <c r="G6" t="s">
        <v>354</v>
      </c>
      <c r="H6" s="3" t="s">
        <v>58</v>
      </c>
      <c r="I6" s="1" t="s">
        <v>77</v>
      </c>
      <c r="J6" s="1" t="s">
        <v>59</v>
      </c>
      <c r="K6" s="1" t="s">
        <v>79</v>
      </c>
      <c r="L6" s="1" t="s">
        <v>61</v>
      </c>
      <c r="S6" s="1" t="s">
        <v>63</v>
      </c>
      <c r="T6" s="1" t="s">
        <v>63</v>
      </c>
      <c r="U6" s="1" t="s">
        <v>59</v>
      </c>
      <c r="V6" s="1" t="s">
        <v>349</v>
      </c>
      <c r="Y6" s="1" t="s">
        <v>350</v>
      </c>
      <c r="AA6" s="1" t="s">
        <v>66</v>
      </c>
      <c r="AG6" t="s">
        <v>351</v>
      </c>
      <c r="AM6" t="s">
        <v>280</v>
      </c>
      <c r="AO6" t="s">
        <v>281</v>
      </c>
      <c r="AW6" t="s">
        <v>282</v>
      </c>
    </row>
    <row r="7" spans="1:50" x14ac:dyDescent="0.25">
      <c r="B7" s="1" t="s">
        <v>62</v>
      </c>
      <c r="C7" s="1" t="s">
        <v>346</v>
      </c>
      <c r="D7" s="1" t="s">
        <v>347</v>
      </c>
      <c r="F7" t="s">
        <v>121</v>
      </c>
      <c r="G7" t="s">
        <v>355</v>
      </c>
      <c r="H7" s="3" t="s">
        <v>58</v>
      </c>
      <c r="I7" s="1" t="s">
        <v>62</v>
      </c>
      <c r="J7" s="1" t="s">
        <v>59</v>
      </c>
      <c r="K7" s="1" t="s">
        <v>82</v>
      </c>
      <c r="L7" s="1" t="s">
        <v>61</v>
      </c>
      <c r="S7" s="1" t="s">
        <v>63</v>
      </c>
      <c r="T7" s="1" t="s">
        <v>63</v>
      </c>
      <c r="U7" s="1" t="s">
        <v>59</v>
      </c>
      <c r="V7" s="1" t="s">
        <v>349</v>
      </c>
      <c r="Y7" s="1" t="s">
        <v>350</v>
      </c>
      <c r="AA7" s="1" t="s">
        <v>66</v>
      </c>
      <c r="AG7" t="s">
        <v>351</v>
      </c>
      <c r="AM7" t="s">
        <v>280</v>
      </c>
      <c r="AO7" t="s">
        <v>281</v>
      </c>
      <c r="AW7" t="s">
        <v>282</v>
      </c>
    </row>
    <row r="8" spans="1:50" x14ac:dyDescent="0.25">
      <c r="B8" s="1" t="s">
        <v>83</v>
      </c>
      <c r="C8" s="1" t="s">
        <v>346</v>
      </c>
      <c r="D8" s="1" t="s">
        <v>347</v>
      </c>
      <c r="F8" t="s">
        <v>121</v>
      </c>
      <c r="G8" t="s">
        <v>356</v>
      </c>
      <c r="H8" s="3" t="s">
        <v>58</v>
      </c>
      <c r="I8" s="1" t="s">
        <v>83</v>
      </c>
      <c r="J8" s="1" t="s">
        <v>59</v>
      </c>
      <c r="K8" s="1" t="s">
        <v>85</v>
      </c>
      <c r="L8" s="1" t="s">
        <v>61</v>
      </c>
      <c r="S8" s="1" t="s">
        <v>63</v>
      </c>
      <c r="T8" s="1" t="s">
        <v>63</v>
      </c>
      <c r="U8" s="1" t="s">
        <v>59</v>
      </c>
      <c r="V8" s="1" t="s">
        <v>349</v>
      </c>
      <c r="Y8" s="1" t="s">
        <v>350</v>
      </c>
      <c r="AA8" s="1" t="s">
        <v>66</v>
      </c>
      <c r="AG8" t="s">
        <v>351</v>
      </c>
      <c r="AM8" t="s">
        <v>280</v>
      </c>
      <c r="AO8" t="s">
        <v>281</v>
      </c>
      <c r="AW8" t="s">
        <v>282</v>
      </c>
    </row>
    <row r="9" spans="1:50" x14ac:dyDescent="0.25">
      <c r="B9" s="1" t="s">
        <v>86</v>
      </c>
      <c r="C9" s="1" t="s">
        <v>346</v>
      </c>
      <c r="D9" s="1" t="s">
        <v>347</v>
      </c>
      <c r="F9" t="s">
        <v>121</v>
      </c>
      <c r="G9" t="s">
        <v>357</v>
      </c>
      <c r="H9" s="3" t="s">
        <v>58</v>
      </c>
      <c r="I9" s="1" t="s">
        <v>86</v>
      </c>
      <c r="J9" s="1" t="s">
        <v>59</v>
      </c>
      <c r="K9" s="1" t="s">
        <v>88</v>
      </c>
      <c r="L9" s="1" t="s">
        <v>61</v>
      </c>
      <c r="S9" s="1" t="s">
        <v>63</v>
      </c>
      <c r="T9" s="1" t="s">
        <v>63</v>
      </c>
      <c r="U9" s="1" t="s">
        <v>59</v>
      </c>
      <c r="V9" s="1" t="s">
        <v>349</v>
      </c>
      <c r="Y9" s="1" t="s">
        <v>350</v>
      </c>
      <c r="AA9" s="1" t="s">
        <v>66</v>
      </c>
      <c r="AG9" t="s">
        <v>351</v>
      </c>
      <c r="AM9" t="s">
        <v>280</v>
      </c>
      <c r="AO9" t="s">
        <v>281</v>
      </c>
      <c r="AW9" t="s">
        <v>282</v>
      </c>
    </row>
    <row r="10" spans="1:50" x14ac:dyDescent="0.25">
      <c r="B10" s="1" t="s">
        <v>89</v>
      </c>
      <c r="C10" s="1" t="s">
        <v>346</v>
      </c>
      <c r="D10" s="1" t="s">
        <v>347</v>
      </c>
      <c r="F10" t="s">
        <v>121</v>
      </c>
      <c r="G10" t="s">
        <v>358</v>
      </c>
      <c r="H10" s="3" t="s">
        <v>58</v>
      </c>
      <c r="I10" s="1" t="s">
        <v>89</v>
      </c>
      <c r="J10" s="1" t="s">
        <v>59</v>
      </c>
      <c r="K10" s="1" t="s">
        <v>91</v>
      </c>
      <c r="L10" s="1" t="s">
        <v>61</v>
      </c>
      <c r="S10" s="1" t="s">
        <v>63</v>
      </c>
      <c r="T10" s="1" t="s">
        <v>63</v>
      </c>
      <c r="U10" s="1" t="s">
        <v>59</v>
      </c>
      <c r="V10" s="1" t="s">
        <v>349</v>
      </c>
      <c r="Y10" s="1" t="s">
        <v>350</v>
      </c>
      <c r="AA10" s="1" t="s">
        <v>66</v>
      </c>
      <c r="AG10" t="s">
        <v>351</v>
      </c>
      <c r="AM10" t="s">
        <v>280</v>
      </c>
      <c r="AO10" t="s">
        <v>281</v>
      </c>
      <c r="AW10" t="s">
        <v>282</v>
      </c>
    </row>
    <row r="11" spans="1:50" x14ac:dyDescent="0.25">
      <c r="B11" s="1" t="s">
        <v>92</v>
      </c>
      <c r="C11" s="1" t="s">
        <v>346</v>
      </c>
      <c r="D11" s="1" t="s">
        <v>347</v>
      </c>
      <c r="F11" t="s">
        <v>121</v>
      </c>
      <c r="G11" t="s">
        <v>359</v>
      </c>
      <c r="H11" s="3" t="s">
        <v>58</v>
      </c>
      <c r="I11" s="1" t="s">
        <v>92</v>
      </c>
      <c r="J11" s="1" t="s">
        <v>59</v>
      </c>
      <c r="K11" s="1" t="s">
        <v>92</v>
      </c>
      <c r="L11" s="1" t="s">
        <v>61</v>
      </c>
      <c r="S11" s="1" t="s">
        <v>63</v>
      </c>
      <c r="T11" s="1" t="s">
        <v>63</v>
      </c>
      <c r="U11" s="1" t="s">
        <v>59</v>
      </c>
      <c r="V11" s="1" t="s">
        <v>349</v>
      </c>
      <c r="Y11" s="1" t="s">
        <v>350</v>
      </c>
      <c r="AA11" s="1" t="s">
        <v>66</v>
      </c>
      <c r="AG11" t="s">
        <v>351</v>
      </c>
      <c r="AM11" t="s">
        <v>280</v>
      </c>
      <c r="AO11" t="s">
        <v>281</v>
      </c>
      <c r="AW11" t="s">
        <v>282</v>
      </c>
    </row>
    <row r="12" spans="1:50" x14ac:dyDescent="0.25">
      <c r="B12" s="1" t="s">
        <v>94</v>
      </c>
      <c r="C12" s="1" t="s">
        <v>346</v>
      </c>
      <c r="D12" s="1" t="s">
        <v>347</v>
      </c>
      <c r="F12" t="s">
        <v>121</v>
      </c>
      <c r="G12" t="s">
        <v>360</v>
      </c>
      <c r="H12" s="3" t="s">
        <v>58</v>
      </c>
      <c r="I12" s="1" t="s">
        <v>94</v>
      </c>
      <c r="J12" s="1" t="s">
        <v>59</v>
      </c>
      <c r="K12" s="1" t="s">
        <v>96</v>
      </c>
      <c r="L12" s="1" t="s">
        <v>61</v>
      </c>
      <c r="S12" s="1" t="s">
        <v>63</v>
      </c>
      <c r="T12" s="1" t="s">
        <v>63</v>
      </c>
      <c r="U12" s="1" t="s">
        <v>59</v>
      </c>
      <c r="V12" s="1" t="s">
        <v>349</v>
      </c>
      <c r="Y12" s="1" t="s">
        <v>350</v>
      </c>
      <c r="AA12" s="1" t="s">
        <v>66</v>
      </c>
      <c r="AG12" t="s">
        <v>351</v>
      </c>
      <c r="AM12" t="s">
        <v>280</v>
      </c>
      <c r="AO12" t="s">
        <v>281</v>
      </c>
      <c r="AW12" t="s">
        <v>282</v>
      </c>
    </row>
    <row r="13" spans="1:50" x14ac:dyDescent="0.25">
      <c r="B13" s="1" t="s">
        <v>97</v>
      </c>
      <c r="C13" s="1" t="s">
        <v>346</v>
      </c>
      <c r="D13" s="1" t="s">
        <v>347</v>
      </c>
      <c r="F13" t="s">
        <v>121</v>
      </c>
      <c r="G13" t="s">
        <v>361</v>
      </c>
      <c r="H13" s="3" t="s">
        <v>58</v>
      </c>
      <c r="I13" s="1" t="s">
        <v>97</v>
      </c>
      <c r="J13" s="1" t="s">
        <v>59</v>
      </c>
      <c r="K13" s="1" t="s">
        <v>97</v>
      </c>
      <c r="L13" s="1" t="s">
        <v>61</v>
      </c>
      <c r="S13" s="1" t="s">
        <v>63</v>
      </c>
      <c r="T13" s="1" t="s">
        <v>63</v>
      </c>
      <c r="U13" s="1" t="s">
        <v>59</v>
      </c>
      <c r="V13" s="1" t="s">
        <v>349</v>
      </c>
      <c r="Y13" s="1" t="s">
        <v>350</v>
      </c>
      <c r="AA13" s="1" t="s">
        <v>66</v>
      </c>
      <c r="AG13" t="s">
        <v>351</v>
      </c>
      <c r="AM13" t="s">
        <v>280</v>
      </c>
      <c r="AO13" t="s">
        <v>281</v>
      </c>
      <c r="AW13" t="s">
        <v>282</v>
      </c>
    </row>
    <row r="14" spans="1:50" x14ac:dyDescent="0.25">
      <c r="B14" s="1" t="s">
        <v>99</v>
      </c>
      <c r="C14" s="1" t="s">
        <v>346</v>
      </c>
      <c r="D14" s="1" t="s">
        <v>347</v>
      </c>
      <c r="F14" t="s">
        <v>121</v>
      </c>
      <c r="G14" t="s">
        <v>362</v>
      </c>
      <c r="H14" s="3" t="s">
        <v>58</v>
      </c>
      <c r="I14" s="1" t="s">
        <v>99</v>
      </c>
      <c r="J14" s="1" t="s">
        <v>59</v>
      </c>
      <c r="K14" s="1" t="s">
        <v>101</v>
      </c>
      <c r="L14" s="1" t="s">
        <v>61</v>
      </c>
      <c r="S14" s="1" t="s">
        <v>63</v>
      </c>
      <c r="T14" s="1" t="s">
        <v>63</v>
      </c>
      <c r="U14" s="1" t="s">
        <v>59</v>
      </c>
      <c r="V14" s="1" t="s">
        <v>349</v>
      </c>
      <c r="Y14" s="1" t="s">
        <v>350</v>
      </c>
      <c r="AA14" s="1" t="s">
        <v>66</v>
      </c>
      <c r="AG14" t="s">
        <v>351</v>
      </c>
      <c r="AM14" t="s">
        <v>280</v>
      </c>
      <c r="AO14" t="s">
        <v>281</v>
      </c>
      <c r="AW14" t="s">
        <v>282</v>
      </c>
    </row>
    <row r="15" spans="1:50" x14ac:dyDescent="0.25">
      <c r="B15" s="1" t="s">
        <v>102</v>
      </c>
      <c r="C15" s="1" t="s">
        <v>346</v>
      </c>
      <c r="D15" s="1" t="s">
        <v>347</v>
      </c>
      <c r="F15" t="s">
        <v>121</v>
      </c>
      <c r="G15" t="s">
        <v>363</v>
      </c>
      <c r="H15" s="3" t="s">
        <v>58</v>
      </c>
      <c r="I15" s="1" t="s">
        <v>102</v>
      </c>
      <c r="J15" s="1" t="s">
        <v>59</v>
      </c>
      <c r="K15" s="1" t="s">
        <v>104</v>
      </c>
      <c r="L15" s="1" t="s">
        <v>61</v>
      </c>
      <c r="S15" s="1" t="s">
        <v>63</v>
      </c>
      <c r="T15" s="1" t="s">
        <v>63</v>
      </c>
      <c r="U15" s="1" t="s">
        <v>59</v>
      </c>
      <c r="V15" s="1" t="s">
        <v>349</v>
      </c>
      <c r="Y15" s="1" t="s">
        <v>350</v>
      </c>
      <c r="AA15" s="1" t="s">
        <v>66</v>
      </c>
      <c r="AG15" t="s">
        <v>351</v>
      </c>
      <c r="AM15" t="s">
        <v>280</v>
      </c>
      <c r="AO15" t="s">
        <v>281</v>
      </c>
      <c r="AW15" t="s">
        <v>282</v>
      </c>
    </row>
    <row r="16" spans="1:50" x14ac:dyDescent="0.25">
      <c r="B16" s="1" t="s">
        <v>105</v>
      </c>
      <c r="C16" s="1" t="s">
        <v>346</v>
      </c>
      <c r="D16" s="1" t="s">
        <v>347</v>
      </c>
      <c r="F16" t="s">
        <v>121</v>
      </c>
      <c r="G16" t="s">
        <v>364</v>
      </c>
      <c r="H16" s="3" t="s">
        <v>58</v>
      </c>
      <c r="I16" s="1" t="s">
        <v>105</v>
      </c>
      <c r="J16" s="1" t="s">
        <v>59</v>
      </c>
      <c r="K16" s="1" t="s">
        <v>107</v>
      </c>
      <c r="L16" s="1" t="s">
        <v>61</v>
      </c>
      <c r="S16" s="1" t="s">
        <v>63</v>
      </c>
      <c r="T16" s="1" t="s">
        <v>63</v>
      </c>
      <c r="U16" s="1" t="s">
        <v>59</v>
      </c>
      <c r="V16" s="1" t="s">
        <v>349</v>
      </c>
      <c r="Y16" s="1" t="s">
        <v>350</v>
      </c>
      <c r="AA16" s="1" t="s">
        <v>66</v>
      </c>
      <c r="AG16" t="s">
        <v>351</v>
      </c>
      <c r="AM16" t="s">
        <v>280</v>
      </c>
      <c r="AO16" t="s">
        <v>281</v>
      </c>
      <c r="AW16" t="s">
        <v>282</v>
      </c>
    </row>
    <row r="17" spans="2:49" x14ac:dyDescent="0.25">
      <c r="B17" s="1" t="s">
        <v>108</v>
      </c>
      <c r="C17" s="1" t="s">
        <v>346</v>
      </c>
      <c r="D17" s="1" t="s">
        <v>347</v>
      </c>
      <c r="F17" t="s">
        <v>121</v>
      </c>
      <c r="G17" t="s">
        <v>365</v>
      </c>
      <c r="H17" s="3" t="s">
        <v>58</v>
      </c>
      <c r="I17" s="1" t="s">
        <v>108</v>
      </c>
      <c r="J17" s="1" t="s">
        <v>59</v>
      </c>
      <c r="K17" s="1" t="s">
        <v>110</v>
      </c>
      <c r="L17" s="1" t="s">
        <v>61</v>
      </c>
      <c r="S17" s="1" t="s">
        <v>63</v>
      </c>
      <c r="T17" s="1" t="s">
        <v>63</v>
      </c>
      <c r="U17" s="1" t="s">
        <v>59</v>
      </c>
      <c r="V17" s="1" t="s">
        <v>349</v>
      </c>
      <c r="Y17" s="1" t="s">
        <v>350</v>
      </c>
      <c r="AA17" s="1" t="s">
        <v>66</v>
      </c>
      <c r="AG17" t="s">
        <v>351</v>
      </c>
      <c r="AM17" t="s">
        <v>280</v>
      </c>
      <c r="AO17" t="s">
        <v>281</v>
      </c>
      <c r="AW17" t="s">
        <v>282</v>
      </c>
    </row>
    <row r="18" spans="2:49" x14ac:dyDescent="0.25">
      <c r="B18" s="1" t="s">
        <v>111</v>
      </c>
      <c r="C18" s="1" t="s">
        <v>346</v>
      </c>
      <c r="D18" s="1" t="s">
        <v>347</v>
      </c>
      <c r="F18" t="s">
        <v>121</v>
      </c>
      <c r="G18" t="s">
        <v>366</v>
      </c>
      <c r="H18" s="3" t="s">
        <v>58</v>
      </c>
      <c r="I18" s="1" t="s">
        <v>111</v>
      </c>
      <c r="J18" s="1" t="s">
        <v>59</v>
      </c>
      <c r="K18" s="1" t="s">
        <v>113</v>
      </c>
      <c r="L18" s="1" t="s">
        <v>61</v>
      </c>
      <c r="S18" s="1" t="s">
        <v>63</v>
      </c>
      <c r="T18" s="1" t="s">
        <v>63</v>
      </c>
      <c r="U18" s="1" t="s">
        <v>59</v>
      </c>
      <c r="V18" s="1" t="s">
        <v>349</v>
      </c>
      <c r="Y18" s="1" t="s">
        <v>350</v>
      </c>
      <c r="AA18" s="1" t="s">
        <v>66</v>
      </c>
      <c r="AG18" t="s">
        <v>351</v>
      </c>
      <c r="AM18" t="s">
        <v>280</v>
      </c>
      <c r="AO18" t="s">
        <v>281</v>
      </c>
      <c r="AW18" t="s">
        <v>282</v>
      </c>
    </row>
    <row r="19" spans="2:49" x14ac:dyDescent="0.25">
      <c r="B19" s="1" t="s">
        <v>114</v>
      </c>
      <c r="C19" s="1" t="s">
        <v>346</v>
      </c>
      <c r="D19" s="1" t="s">
        <v>347</v>
      </c>
      <c r="F19" t="s">
        <v>121</v>
      </c>
      <c r="G19" t="s">
        <v>367</v>
      </c>
      <c r="H19" s="3" t="s">
        <v>58</v>
      </c>
      <c r="I19" s="1" t="s">
        <v>114</v>
      </c>
      <c r="J19" s="1" t="s">
        <v>59</v>
      </c>
      <c r="K19" s="1" t="s">
        <v>116</v>
      </c>
      <c r="L19" s="1" t="s">
        <v>61</v>
      </c>
      <c r="S19" s="1" t="s">
        <v>63</v>
      </c>
      <c r="T19" s="1" t="s">
        <v>63</v>
      </c>
      <c r="U19" s="1" t="s">
        <v>59</v>
      </c>
      <c r="V19" s="1" t="s">
        <v>349</v>
      </c>
      <c r="Y19" s="1" t="s">
        <v>350</v>
      </c>
      <c r="AA19" s="1" t="s">
        <v>66</v>
      </c>
      <c r="AG19" t="s">
        <v>351</v>
      </c>
      <c r="AM19" t="s">
        <v>280</v>
      </c>
      <c r="AO19" t="s">
        <v>281</v>
      </c>
      <c r="AW19" t="s">
        <v>282</v>
      </c>
    </row>
    <row r="20" spans="2:49" x14ac:dyDescent="0.25">
      <c r="B20" s="1" t="s">
        <v>117</v>
      </c>
      <c r="C20" s="1" t="s">
        <v>346</v>
      </c>
      <c r="D20" s="1" t="s">
        <v>347</v>
      </c>
      <c r="F20" t="s">
        <v>121</v>
      </c>
      <c r="G20" t="s">
        <v>368</v>
      </c>
      <c r="H20" s="3" t="s">
        <v>58</v>
      </c>
      <c r="I20" s="1" t="s">
        <v>117</v>
      </c>
      <c r="J20" s="1" t="s">
        <v>59</v>
      </c>
      <c r="K20" s="1" t="s">
        <v>119</v>
      </c>
      <c r="L20" s="1" t="s">
        <v>61</v>
      </c>
      <c r="S20" s="1" t="s">
        <v>63</v>
      </c>
      <c r="T20" s="1" t="s">
        <v>63</v>
      </c>
      <c r="U20" s="1" t="s">
        <v>59</v>
      </c>
      <c r="V20" s="1" t="s">
        <v>349</v>
      </c>
      <c r="Y20" s="1" t="s">
        <v>350</v>
      </c>
      <c r="AA20" s="1" t="s">
        <v>66</v>
      </c>
      <c r="AG20" t="s">
        <v>351</v>
      </c>
      <c r="AM20" t="s">
        <v>280</v>
      </c>
      <c r="AO20" t="s">
        <v>281</v>
      </c>
      <c r="AW20" t="s">
        <v>282</v>
      </c>
    </row>
  </sheetData>
  <sheetProtection formatCells="0" formatColumns="0" insertColumns="0" deleteColumns="0"/>
  <dataValidations count="2">
    <dataValidation type="list" allowBlank="1" showInputMessage="1" showErrorMessage="1" sqref="AD3:AD20" xr:uid="{00000000-0002-0000-0700-000000000000}">
      <formula1>"LB,KG"</formula1>
    </dataValidation>
    <dataValidation type="decimal" allowBlank="1" showInputMessage="1" showErrorMessage="1" sqref="AS3:AU20 AM3:AM20 AI3:AI20 AC3:AC20 S3:T20 P3:P20 K3:K20 I3:I20" xr:uid="{00000000-0002-0000-07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20"/>
  <sheetViews>
    <sheetView topLeftCell="A2" workbookViewId="0">
      <selection activeCell="D22" sqref="D22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9.85546875" style="1" bestFit="1" customWidth="1"/>
    <col min="4" max="4" width="118" style="1" bestFit="1" customWidth="1"/>
    <col min="5" max="5" width="3.7109375" style="1" bestFit="1" customWidth="1"/>
    <col min="6" max="6" width="4.7109375" style="1" bestFit="1" customWidth="1"/>
    <col min="7" max="7" width="32.42578125" bestFit="1" customWidth="1"/>
    <col min="8" max="8" width="37.7109375" bestFit="1" customWidth="1"/>
    <col min="9" max="9" width="15.85546875" style="1" bestFit="1" customWidth="1"/>
    <col min="10" max="10" width="23" style="1" bestFit="1" customWidth="1"/>
    <col min="11" max="11" width="18.42578125" style="1" bestFit="1" customWidth="1"/>
    <col min="12" max="12" width="22" style="1" bestFit="1" customWidth="1"/>
    <col min="13" max="13" width="14.42578125" style="1" bestFit="1" customWidth="1"/>
    <col min="14" max="14" width="15.5703125" style="1" bestFit="1" customWidth="1"/>
    <col min="15" max="15" width="15.85546875" style="1" bestFit="1" customWidth="1"/>
    <col min="16" max="16" width="12.28515625" style="1" bestFit="1" customWidth="1"/>
    <col min="17" max="17" width="21.5703125" style="1" bestFit="1" customWidth="1"/>
    <col min="18" max="18" width="19.140625" style="1" bestFit="1" customWidth="1"/>
    <col min="19" max="19" width="15" style="1" bestFit="1" customWidth="1"/>
    <col min="20" max="20" width="19.7109375" style="1" bestFit="1" customWidth="1"/>
    <col min="21" max="21" width="24.140625" style="1" bestFit="1" customWidth="1"/>
    <col min="22" max="22" width="16.7109375" style="1" bestFit="1" customWidth="1"/>
    <col min="23" max="23" width="24.140625" style="1" bestFit="1" customWidth="1"/>
    <col min="24" max="24" width="19.42578125" style="1" bestFit="1" customWidth="1"/>
    <col min="25" max="25" width="9.85546875" style="1" bestFit="1" customWidth="1"/>
    <col min="26" max="26" width="60.42578125" style="1" bestFit="1" customWidth="1"/>
    <col min="27" max="27" width="16.5703125" style="1" bestFit="1" customWidth="1"/>
    <col min="28" max="28" width="8.5703125" style="1" bestFit="1" customWidth="1"/>
    <col min="29" max="29" width="13.28515625" style="1" bestFit="1" customWidth="1"/>
    <col min="30" max="30" width="7.5703125" style="1" bestFit="1" customWidth="1"/>
    <col min="31" max="31" width="11.42578125" style="1" bestFit="1" customWidth="1"/>
    <col min="32" max="33" width="5.28515625" style="1" bestFit="1" customWidth="1"/>
    <col min="34" max="34" width="35.5703125" bestFit="1" customWidth="1"/>
    <col min="35" max="35" width="19" bestFit="1" customWidth="1"/>
    <col min="36" max="36" width="10" bestFit="1" customWidth="1"/>
    <col min="37" max="37" width="13.28515625" style="1" bestFit="1" customWidth="1"/>
    <col min="38" max="38" width="9.7109375" style="1" bestFit="1" customWidth="1"/>
    <col min="39" max="39" width="20.42578125" style="1" bestFit="1" customWidth="1"/>
    <col min="40" max="40" width="20.42578125" bestFit="1" customWidth="1"/>
    <col min="41" max="41" width="22.42578125" style="1" bestFit="1" customWidth="1"/>
    <col min="42" max="42" width="12.42578125" bestFit="1" customWidth="1"/>
    <col min="43" max="43" width="26.85546875" bestFit="1" customWidth="1"/>
    <col min="44" max="44" width="11.42578125" bestFit="1" customWidth="1"/>
    <col min="45" max="45" width="6.42578125" style="1" bestFit="1" customWidth="1"/>
    <col min="46" max="46" width="7" style="1" bestFit="1" customWidth="1"/>
    <col min="47" max="47" width="11.140625" style="1" bestFit="1" customWidth="1"/>
    <col min="48" max="48" width="14.28515625" bestFit="1" customWidth="1"/>
    <col min="49" max="49" width="22.7109375" bestFit="1" customWidth="1"/>
    <col min="50" max="50" width="9.140625" customWidth="1"/>
  </cols>
  <sheetData>
    <row r="1" spans="1:49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s="1" t="s">
        <v>268</v>
      </c>
      <c r="G1" t="s">
        <v>6</v>
      </c>
      <c r="H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t="s">
        <v>39</v>
      </c>
      <c r="AO1" s="1" t="s">
        <v>40</v>
      </c>
      <c r="AP1" t="s">
        <v>41</v>
      </c>
      <c r="AQ1" t="s">
        <v>42</v>
      </c>
      <c r="AR1" t="s">
        <v>43</v>
      </c>
      <c r="AS1" s="1" t="s">
        <v>44</v>
      </c>
      <c r="AT1" s="1" t="s">
        <v>45</v>
      </c>
      <c r="AU1" s="1" t="s">
        <v>271</v>
      </c>
      <c r="AV1" t="s">
        <v>50</v>
      </c>
      <c r="AW1" t="s">
        <v>51</v>
      </c>
    </row>
    <row r="2" spans="1:49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268</v>
      </c>
      <c r="G2" s="2" t="s">
        <v>6</v>
      </c>
      <c r="H2" s="2" t="s">
        <v>7</v>
      </c>
      <c r="I2" s="4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271</v>
      </c>
      <c r="AV2" s="2" t="s">
        <v>50</v>
      </c>
      <c r="AW2" s="2" t="s">
        <v>51</v>
      </c>
    </row>
    <row r="3" spans="1:49" x14ac:dyDescent="0.25">
      <c r="B3" s="1" t="s">
        <v>54</v>
      </c>
      <c r="C3" s="1" t="s">
        <v>369</v>
      </c>
      <c r="D3" s="1" t="s">
        <v>370</v>
      </c>
      <c r="G3" t="s">
        <v>274</v>
      </c>
      <c r="H3" t="s">
        <v>371</v>
      </c>
      <c r="I3" s="3" t="s">
        <v>58</v>
      </c>
      <c r="J3" s="1" t="s">
        <v>54</v>
      </c>
      <c r="K3" s="1" t="s">
        <v>59</v>
      </c>
      <c r="L3" s="1" t="s">
        <v>60</v>
      </c>
      <c r="M3" s="1" t="s">
        <v>61</v>
      </c>
      <c r="S3" s="1" t="s">
        <v>62</v>
      </c>
      <c r="T3" s="1" t="s">
        <v>63</v>
      </c>
      <c r="U3" s="1" t="s">
        <v>63</v>
      </c>
      <c r="V3" s="1" t="s">
        <v>59</v>
      </c>
      <c r="W3" s="1" t="s">
        <v>372</v>
      </c>
      <c r="Z3" s="1" t="s">
        <v>373</v>
      </c>
      <c r="AB3" s="1" t="s">
        <v>66</v>
      </c>
      <c r="AH3" t="s">
        <v>374</v>
      </c>
      <c r="AN3" t="s">
        <v>68</v>
      </c>
      <c r="AP3" t="s">
        <v>281</v>
      </c>
      <c r="AV3" t="s">
        <v>375</v>
      </c>
    </row>
    <row r="4" spans="1:49" x14ac:dyDescent="0.25">
      <c r="B4" s="1" t="s">
        <v>71</v>
      </c>
      <c r="C4" s="1" t="s">
        <v>369</v>
      </c>
      <c r="D4" s="1" t="s">
        <v>370</v>
      </c>
      <c r="G4" t="s">
        <v>274</v>
      </c>
      <c r="H4" t="s">
        <v>376</v>
      </c>
      <c r="I4" s="3" t="s">
        <v>58</v>
      </c>
      <c r="J4" s="1" t="s">
        <v>71</v>
      </c>
      <c r="K4" s="1" t="s">
        <v>59</v>
      </c>
      <c r="L4" s="1" t="s">
        <v>73</v>
      </c>
      <c r="M4" s="1" t="s">
        <v>61</v>
      </c>
      <c r="S4" s="1" t="s">
        <v>62</v>
      </c>
      <c r="T4" s="1" t="s">
        <v>63</v>
      </c>
      <c r="U4" s="1" t="s">
        <v>63</v>
      </c>
      <c r="V4" s="1" t="s">
        <v>59</v>
      </c>
      <c r="W4" s="1" t="s">
        <v>372</v>
      </c>
      <c r="Z4" s="1" t="s">
        <v>373</v>
      </c>
      <c r="AB4" s="1" t="s">
        <v>66</v>
      </c>
      <c r="AH4" t="s">
        <v>374</v>
      </c>
      <c r="AN4" t="s">
        <v>68</v>
      </c>
      <c r="AP4" t="s">
        <v>281</v>
      </c>
      <c r="AV4" t="s">
        <v>375</v>
      </c>
    </row>
    <row r="5" spans="1:49" x14ac:dyDescent="0.25">
      <c r="B5" s="1" t="s">
        <v>74</v>
      </c>
      <c r="C5" s="1" t="s">
        <v>369</v>
      </c>
      <c r="D5" s="1" t="s">
        <v>370</v>
      </c>
      <c r="G5" t="s">
        <v>274</v>
      </c>
      <c r="H5" t="s">
        <v>377</v>
      </c>
      <c r="I5" s="3" t="s">
        <v>58</v>
      </c>
      <c r="J5" s="1" t="s">
        <v>74</v>
      </c>
      <c r="K5" s="1" t="s">
        <v>59</v>
      </c>
      <c r="L5" s="1" t="s">
        <v>76</v>
      </c>
      <c r="M5" s="1" t="s">
        <v>61</v>
      </c>
      <c r="S5" s="1" t="s">
        <v>62</v>
      </c>
      <c r="T5" s="1" t="s">
        <v>63</v>
      </c>
      <c r="U5" s="1" t="s">
        <v>63</v>
      </c>
      <c r="V5" s="1" t="s">
        <v>59</v>
      </c>
      <c r="W5" s="1" t="s">
        <v>372</v>
      </c>
      <c r="Z5" s="1" t="s">
        <v>373</v>
      </c>
      <c r="AB5" s="1" t="s">
        <v>66</v>
      </c>
      <c r="AH5" t="s">
        <v>374</v>
      </c>
      <c r="AN5" t="s">
        <v>68</v>
      </c>
      <c r="AP5" t="s">
        <v>281</v>
      </c>
      <c r="AV5" t="s">
        <v>375</v>
      </c>
    </row>
    <row r="6" spans="1:49" x14ac:dyDescent="0.25">
      <c r="B6" s="1" t="s">
        <v>77</v>
      </c>
      <c r="C6" s="1" t="s">
        <v>369</v>
      </c>
      <c r="D6" s="1" t="s">
        <v>370</v>
      </c>
      <c r="G6" t="s">
        <v>274</v>
      </c>
      <c r="H6" t="s">
        <v>378</v>
      </c>
      <c r="I6" s="3" t="s">
        <v>58</v>
      </c>
      <c r="J6" s="1" t="s">
        <v>77</v>
      </c>
      <c r="K6" s="1" t="s">
        <v>59</v>
      </c>
      <c r="L6" s="1" t="s">
        <v>79</v>
      </c>
      <c r="M6" s="1" t="s">
        <v>61</v>
      </c>
      <c r="S6" s="1" t="s">
        <v>62</v>
      </c>
      <c r="T6" s="1" t="s">
        <v>63</v>
      </c>
      <c r="U6" s="1" t="s">
        <v>63</v>
      </c>
      <c r="V6" s="1" t="s">
        <v>59</v>
      </c>
      <c r="W6" s="1" t="s">
        <v>372</v>
      </c>
      <c r="Z6" s="1" t="s">
        <v>373</v>
      </c>
      <c r="AB6" s="1" t="s">
        <v>66</v>
      </c>
      <c r="AH6" t="s">
        <v>374</v>
      </c>
      <c r="AN6" t="s">
        <v>68</v>
      </c>
      <c r="AP6" t="s">
        <v>281</v>
      </c>
      <c r="AV6" t="s">
        <v>375</v>
      </c>
    </row>
    <row r="7" spans="1:49" x14ac:dyDescent="0.25">
      <c r="B7" s="1" t="s">
        <v>62</v>
      </c>
      <c r="C7" s="1" t="s">
        <v>369</v>
      </c>
      <c r="D7" s="1" t="s">
        <v>370</v>
      </c>
      <c r="G7" t="s">
        <v>274</v>
      </c>
      <c r="H7" t="s">
        <v>379</v>
      </c>
      <c r="I7" s="3" t="s">
        <v>58</v>
      </c>
      <c r="J7" s="1" t="s">
        <v>62</v>
      </c>
      <c r="K7" s="1" t="s">
        <v>59</v>
      </c>
      <c r="L7" s="1" t="s">
        <v>82</v>
      </c>
      <c r="M7" s="1" t="s">
        <v>61</v>
      </c>
      <c r="S7" s="1" t="s">
        <v>62</v>
      </c>
      <c r="T7" s="1" t="s">
        <v>63</v>
      </c>
      <c r="U7" s="1" t="s">
        <v>63</v>
      </c>
      <c r="V7" s="1" t="s">
        <v>59</v>
      </c>
      <c r="W7" s="1" t="s">
        <v>372</v>
      </c>
      <c r="Z7" s="1" t="s">
        <v>373</v>
      </c>
      <c r="AB7" s="1" t="s">
        <v>66</v>
      </c>
      <c r="AH7" t="s">
        <v>374</v>
      </c>
      <c r="AN7" t="s">
        <v>68</v>
      </c>
      <c r="AP7" t="s">
        <v>281</v>
      </c>
      <c r="AV7" t="s">
        <v>375</v>
      </c>
    </row>
    <row r="8" spans="1:49" x14ac:dyDescent="0.25">
      <c r="B8" s="1" t="s">
        <v>83</v>
      </c>
      <c r="C8" s="1" t="s">
        <v>369</v>
      </c>
      <c r="D8" s="1" t="s">
        <v>370</v>
      </c>
      <c r="G8" t="s">
        <v>274</v>
      </c>
      <c r="H8" t="s">
        <v>380</v>
      </c>
      <c r="I8" s="3" t="s">
        <v>58</v>
      </c>
      <c r="J8" s="1" t="s">
        <v>83</v>
      </c>
      <c r="K8" s="1" t="s">
        <v>59</v>
      </c>
      <c r="L8" s="1" t="s">
        <v>85</v>
      </c>
      <c r="M8" s="1" t="s">
        <v>61</v>
      </c>
      <c r="S8" s="1" t="s">
        <v>62</v>
      </c>
      <c r="T8" s="1" t="s">
        <v>63</v>
      </c>
      <c r="U8" s="1" t="s">
        <v>63</v>
      </c>
      <c r="V8" s="1" t="s">
        <v>59</v>
      </c>
      <c r="W8" s="1" t="s">
        <v>372</v>
      </c>
      <c r="Z8" s="1" t="s">
        <v>373</v>
      </c>
      <c r="AB8" s="1" t="s">
        <v>66</v>
      </c>
      <c r="AH8" t="s">
        <v>374</v>
      </c>
      <c r="AN8" t="s">
        <v>68</v>
      </c>
      <c r="AP8" t="s">
        <v>281</v>
      </c>
      <c r="AV8" t="s">
        <v>375</v>
      </c>
    </row>
    <row r="9" spans="1:49" x14ac:dyDescent="0.25">
      <c r="B9" s="1" t="s">
        <v>86</v>
      </c>
      <c r="C9" s="1" t="s">
        <v>369</v>
      </c>
      <c r="D9" s="1" t="s">
        <v>370</v>
      </c>
      <c r="G9" t="s">
        <v>274</v>
      </c>
      <c r="H9" t="s">
        <v>381</v>
      </c>
      <c r="I9" s="3" t="s">
        <v>58</v>
      </c>
      <c r="J9" s="1" t="s">
        <v>86</v>
      </c>
      <c r="K9" s="1" t="s">
        <v>59</v>
      </c>
      <c r="L9" s="1" t="s">
        <v>88</v>
      </c>
      <c r="M9" s="1" t="s">
        <v>61</v>
      </c>
      <c r="S9" s="1" t="s">
        <v>62</v>
      </c>
      <c r="T9" s="1" t="s">
        <v>63</v>
      </c>
      <c r="U9" s="1" t="s">
        <v>63</v>
      </c>
      <c r="V9" s="1" t="s">
        <v>59</v>
      </c>
      <c r="W9" s="1" t="s">
        <v>372</v>
      </c>
      <c r="Z9" s="1" t="s">
        <v>373</v>
      </c>
      <c r="AB9" s="1" t="s">
        <v>66</v>
      </c>
      <c r="AH9" t="s">
        <v>374</v>
      </c>
      <c r="AN9" t="s">
        <v>68</v>
      </c>
      <c r="AP9" t="s">
        <v>281</v>
      </c>
      <c r="AV9" t="s">
        <v>375</v>
      </c>
    </row>
    <row r="10" spans="1:49" x14ac:dyDescent="0.25">
      <c r="B10" s="1" t="s">
        <v>89</v>
      </c>
      <c r="C10" s="1" t="s">
        <v>369</v>
      </c>
      <c r="D10" s="1" t="s">
        <v>370</v>
      </c>
      <c r="G10" t="s">
        <v>274</v>
      </c>
      <c r="H10" t="s">
        <v>382</v>
      </c>
      <c r="I10" s="3" t="s">
        <v>58</v>
      </c>
      <c r="J10" s="1" t="s">
        <v>89</v>
      </c>
      <c r="K10" s="1" t="s">
        <v>59</v>
      </c>
      <c r="L10" s="1" t="s">
        <v>91</v>
      </c>
      <c r="M10" s="1" t="s">
        <v>61</v>
      </c>
      <c r="S10" s="1" t="s">
        <v>62</v>
      </c>
      <c r="T10" s="1" t="s">
        <v>63</v>
      </c>
      <c r="U10" s="1" t="s">
        <v>63</v>
      </c>
      <c r="V10" s="1" t="s">
        <v>59</v>
      </c>
      <c r="W10" s="1" t="s">
        <v>372</v>
      </c>
      <c r="Z10" s="1" t="s">
        <v>373</v>
      </c>
      <c r="AB10" s="1" t="s">
        <v>66</v>
      </c>
      <c r="AH10" t="s">
        <v>374</v>
      </c>
      <c r="AN10" t="s">
        <v>68</v>
      </c>
      <c r="AP10" t="s">
        <v>281</v>
      </c>
      <c r="AV10" t="s">
        <v>375</v>
      </c>
    </row>
    <row r="11" spans="1:49" x14ac:dyDescent="0.25">
      <c r="B11" s="1" t="s">
        <v>92</v>
      </c>
      <c r="C11" s="1" t="s">
        <v>369</v>
      </c>
      <c r="D11" s="1" t="s">
        <v>370</v>
      </c>
      <c r="G11" t="s">
        <v>274</v>
      </c>
      <c r="H11" t="s">
        <v>383</v>
      </c>
      <c r="I11" s="3" t="s">
        <v>58</v>
      </c>
      <c r="J11" s="1" t="s">
        <v>92</v>
      </c>
      <c r="K11" s="1" t="s">
        <v>59</v>
      </c>
      <c r="L11" s="1" t="s">
        <v>92</v>
      </c>
      <c r="M11" s="1" t="s">
        <v>61</v>
      </c>
      <c r="S11" s="1" t="s">
        <v>62</v>
      </c>
      <c r="T11" s="1" t="s">
        <v>63</v>
      </c>
      <c r="U11" s="1" t="s">
        <v>63</v>
      </c>
      <c r="V11" s="1" t="s">
        <v>59</v>
      </c>
      <c r="W11" s="1" t="s">
        <v>372</v>
      </c>
      <c r="Z11" s="1" t="s">
        <v>373</v>
      </c>
      <c r="AB11" s="1" t="s">
        <v>66</v>
      </c>
      <c r="AH11" t="s">
        <v>374</v>
      </c>
      <c r="AN11" t="s">
        <v>68</v>
      </c>
      <c r="AP11" t="s">
        <v>281</v>
      </c>
      <c r="AV11" t="s">
        <v>375</v>
      </c>
    </row>
    <row r="12" spans="1:49" x14ac:dyDescent="0.25">
      <c r="B12" s="1" t="s">
        <v>94</v>
      </c>
      <c r="C12" s="1" t="s">
        <v>369</v>
      </c>
      <c r="D12" s="1" t="s">
        <v>370</v>
      </c>
      <c r="G12" t="s">
        <v>274</v>
      </c>
      <c r="H12" t="s">
        <v>384</v>
      </c>
      <c r="I12" s="3" t="s">
        <v>58</v>
      </c>
      <c r="J12" s="1" t="s">
        <v>94</v>
      </c>
      <c r="K12" s="1" t="s">
        <v>59</v>
      </c>
      <c r="L12" s="1" t="s">
        <v>96</v>
      </c>
      <c r="M12" s="1" t="s">
        <v>61</v>
      </c>
      <c r="S12" s="1" t="s">
        <v>62</v>
      </c>
      <c r="T12" s="1" t="s">
        <v>63</v>
      </c>
      <c r="U12" s="1" t="s">
        <v>63</v>
      </c>
      <c r="V12" s="1" t="s">
        <v>59</v>
      </c>
      <c r="W12" s="1" t="s">
        <v>372</v>
      </c>
      <c r="Z12" s="1" t="s">
        <v>373</v>
      </c>
      <c r="AB12" s="1" t="s">
        <v>66</v>
      </c>
      <c r="AH12" t="s">
        <v>374</v>
      </c>
      <c r="AN12" t="s">
        <v>68</v>
      </c>
      <c r="AP12" t="s">
        <v>281</v>
      </c>
      <c r="AV12" t="s">
        <v>375</v>
      </c>
    </row>
    <row r="13" spans="1:49" x14ac:dyDescent="0.25">
      <c r="B13" s="1" t="s">
        <v>97</v>
      </c>
      <c r="C13" s="1" t="s">
        <v>369</v>
      </c>
      <c r="D13" s="1" t="s">
        <v>370</v>
      </c>
      <c r="G13" t="s">
        <v>274</v>
      </c>
      <c r="H13" t="s">
        <v>385</v>
      </c>
      <c r="I13" s="3" t="s">
        <v>58</v>
      </c>
      <c r="J13" s="1" t="s">
        <v>97</v>
      </c>
      <c r="K13" s="1" t="s">
        <v>59</v>
      </c>
      <c r="L13" s="1" t="s">
        <v>97</v>
      </c>
      <c r="M13" s="1" t="s">
        <v>61</v>
      </c>
      <c r="S13" s="1" t="s">
        <v>62</v>
      </c>
      <c r="T13" s="1" t="s">
        <v>63</v>
      </c>
      <c r="U13" s="1" t="s">
        <v>63</v>
      </c>
      <c r="V13" s="1" t="s">
        <v>59</v>
      </c>
      <c r="W13" s="1" t="s">
        <v>372</v>
      </c>
      <c r="Z13" s="1" t="s">
        <v>373</v>
      </c>
      <c r="AB13" s="1" t="s">
        <v>66</v>
      </c>
      <c r="AH13" t="s">
        <v>374</v>
      </c>
      <c r="AN13" t="s">
        <v>68</v>
      </c>
      <c r="AP13" t="s">
        <v>281</v>
      </c>
      <c r="AV13" t="s">
        <v>375</v>
      </c>
    </row>
    <row r="14" spans="1:49" x14ac:dyDescent="0.25">
      <c r="B14" s="1" t="s">
        <v>99</v>
      </c>
      <c r="C14" s="1" t="s">
        <v>369</v>
      </c>
      <c r="D14" s="1" t="s">
        <v>370</v>
      </c>
      <c r="G14" t="s">
        <v>274</v>
      </c>
      <c r="H14" t="s">
        <v>386</v>
      </c>
      <c r="I14" s="3" t="s">
        <v>58</v>
      </c>
      <c r="J14" s="1" t="s">
        <v>99</v>
      </c>
      <c r="K14" s="1" t="s">
        <v>59</v>
      </c>
      <c r="L14" s="1" t="s">
        <v>101</v>
      </c>
      <c r="M14" s="1" t="s">
        <v>61</v>
      </c>
      <c r="S14" s="1" t="s">
        <v>62</v>
      </c>
      <c r="T14" s="1" t="s">
        <v>63</v>
      </c>
      <c r="U14" s="1" t="s">
        <v>63</v>
      </c>
      <c r="V14" s="1" t="s">
        <v>59</v>
      </c>
      <c r="W14" s="1" t="s">
        <v>372</v>
      </c>
      <c r="Z14" s="1" t="s">
        <v>373</v>
      </c>
      <c r="AB14" s="1" t="s">
        <v>66</v>
      </c>
      <c r="AH14" t="s">
        <v>374</v>
      </c>
      <c r="AN14" t="s">
        <v>68</v>
      </c>
      <c r="AP14" t="s">
        <v>281</v>
      </c>
      <c r="AV14" t="s">
        <v>375</v>
      </c>
    </row>
    <row r="15" spans="1:49" x14ac:dyDescent="0.25">
      <c r="B15" s="1" t="s">
        <v>102</v>
      </c>
      <c r="C15" s="1" t="s">
        <v>369</v>
      </c>
      <c r="D15" s="1" t="s">
        <v>370</v>
      </c>
      <c r="G15" t="s">
        <v>274</v>
      </c>
      <c r="H15" t="s">
        <v>387</v>
      </c>
      <c r="I15" s="3" t="s">
        <v>58</v>
      </c>
      <c r="J15" s="1" t="s">
        <v>102</v>
      </c>
      <c r="K15" s="1" t="s">
        <v>59</v>
      </c>
      <c r="L15" s="1" t="s">
        <v>104</v>
      </c>
      <c r="M15" s="1" t="s">
        <v>61</v>
      </c>
      <c r="S15" s="1" t="s">
        <v>62</v>
      </c>
      <c r="T15" s="1" t="s">
        <v>63</v>
      </c>
      <c r="U15" s="1" t="s">
        <v>63</v>
      </c>
      <c r="V15" s="1" t="s">
        <v>59</v>
      </c>
      <c r="W15" s="1" t="s">
        <v>372</v>
      </c>
      <c r="Z15" s="1" t="s">
        <v>373</v>
      </c>
      <c r="AB15" s="1" t="s">
        <v>66</v>
      </c>
      <c r="AH15" t="s">
        <v>374</v>
      </c>
      <c r="AN15" t="s">
        <v>68</v>
      </c>
      <c r="AP15" t="s">
        <v>281</v>
      </c>
      <c r="AV15" t="s">
        <v>375</v>
      </c>
    </row>
    <row r="16" spans="1:49" x14ac:dyDescent="0.25">
      <c r="B16" s="1" t="s">
        <v>105</v>
      </c>
      <c r="C16" s="1" t="s">
        <v>369</v>
      </c>
      <c r="D16" s="1" t="s">
        <v>370</v>
      </c>
      <c r="G16" t="s">
        <v>274</v>
      </c>
      <c r="H16" t="s">
        <v>388</v>
      </c>
      <c r="I16" s="3" t="s">
        <v>58</v>
      </c>
      <c r="J16" s="1" t="s">
        <v>105</v>
      </c>
      <c r="K16" s="1" t="s">
        <v>59</v>
      </c>
      <c r="L16" s="1" t="s">
        <v>107</v>
      </c>
      <c r="M16" s="1" t="s">
        <v>61</v>
      </c>
      <c r="S16" s="1" t="s">
        <v>62</v>
      </c>
      <c r="T16" s="1" t="s">
        <v>63</v>
      </c>
      <c r="U16" s="1" t="s">
        <v>63</v>
      </c>
      <c r="V16" s="1" t="s">
        <v>59</v>
      </c>
      <c r="W16" s="1" t="s">
        <v>372</v>
      </c>
      <c r="Z16" s="1" t="s">
        <v>373</v>
      </c>
      <c r="AB16" s="1" t="s">
        <v>66</v>
      </c>
      <c r="AH16" t="s">
        <v>374</v>
      </c>
      <c r="AN16" t="s">
        <v>68</v>
      </c>
      <c r="AP16" t="s">
        <v>281</v>
      </c>
      <c r="AV16" t="s">
        <v>375</v>
      </c>
    </row>
    <row r="17" spans="2:48" x14ac:dyDescent="0.25">
      <c r="B17" s="1" t="s">
        <v>108</v>
      </c>
      <c r="C17" s="1" t="s">
        <v>369</v>
      </c>
      <c r="D17" s="1" t="s">
        <v>370</v>
      </c>
      <c r="G17" t="s">
        <v>274</v>
      </c>
      <c r="H17" t="s">
        <v>389</v>
      </c>
      <c r="I17" s="3" t="s">
        <v>58</v>
      </c>
      <c r="J17" s="1" t="s">
        <v>108</v>
      </c>
      <c r="K17" s="1" t="s">
        <v>59</v>
      </c>
      <c r="L17" s="1" t="s">
        <v>110</v>
      </c>
      <c r="M17" s="1" t="s">
        <v>61</v>
      </c>
      <c r="S17" s="1" t="s">
        <v>62</v>
      </c>
      <c r="T17" s="1" t="s">
        <v>63</v>
      </c>
      <c r="U17" s="1" t="s">
        <v>63</v>
      </c>
      <c r="V17" s="1" t="s">
        <v>59</v>
      </c>
      <c r="W17" s="1" t="s">
        <v>372</v>
      </c>
      <c r="Z17" s="1" t="s">
        <v>373</v>
      </c>
      <c r="AB17" s="1" t="s">
        <v>66</v>
      </c>
      <c r="AH17" t="s">
        <v>374</v>
      </c>
      <c r="AN17" t="s">
        <v>68</v>
      </c>
      <c r="AP17" t="s">
        <v>281</v>
      </c>
      <c r="AV17" t="s">
        <v>375</v>
      </c>
    </row>
    <row r="18" spans="2:48" x14ac:dyDescent="0.25">
      <c r="B18" s="1" t="s">
        <v>111</v>
      </c>
      <c r="C18" s="1" t="s">
        <v>369</v>
      </c>
      <c r="D18" s="1" t="s">
        <v>370</v>
      </c>
      <c r="G18" t="s">
        <v>274</v>
      </c>
      <c r="H18" t="s">
        <v>390</v>
      </c>
      <c r="I18" s="3" t="s">
        <v>58</v>
      </c>
      <c r="J18" s="1" t="s">
        <v>111</v>
      </c>
      <c r="K18" s="1" t="s">
        <v>59</v>
      </c>
      <c r="L18" s="1" t="s">
        <v>113</v>
      </c>
      <c r="M18" s="1" t="s">
        <v>61</v>
      </c>
      <c r="S18" s="1" t="s">
        <v>62</v>
      </c>
      <c r="T18" s="1" t="s">
        <v>63</v>
      </c>
      <c r="U18" s="1" t="s">
        <v>63</v>
      </c>
      <c r="V18" s="1" t="s">
        <v>59</v>
      </c>
      <c r="W18" s="1" t="s">
        <v>372</v>
      </c>
      <c r="Z18" s="1" t="s">
        <v>373</v>
      </c>
      <c r="AB18" s="1" t="s">
        <v>66</v>
      </c>
      <c r="AH18" t="s">
        <v>374</v>
      </c>
      <c r="AN18" t="s">
        <v>68</v>
      </c>
      <c r="AP18" t="s">
        <v>281</v>
      </c>
      <c r="AV18" t="s">
        <v>375</v>
      </c>
    </row>
    <row r="19" spans="2:48" x14ac:dyDescent="0.25">
      <c r="B19" s="1" t="s">
        <v>114</v>
      </c>
      <c r="C19" s="1" t="s">
        <v>369</v>
      </c>
      <c r="D19" s="1" t="s">
        <v>370</v>
      </c>
      <c r="G19" t="s">
        <v>274</v>
      </c>
      <c r="H19" t="s">
        <v>391</v>
      </c>
      <c r="I19" s="3" t="s">
        <v>58</v>
      </c>
      <c r="J19" s="1" t="s">
        <v>114</v>
      </c>
      <c r="K19" s="1" t="s">
        <v>59</v>
      </c>
      <c r="L19" s="1" t="s">
        <v>116</v>
      </c>
      <c r="M19" s="1" t="s">
        <v>61</v>
      </c>
      <c r="S19" s="1" t="s">
        <v>62</v>
      </c>
      <c r="T19" s="1" t="s">
        <v>63</v>
      </c>
      <c r="U19" s="1" t="s">
        <v>63</v>
      </c>
      <c r="V19" s="1" t="s">
        <v>59</v>
      </c>
      <c r="W19" s="1" t="s">
        <v>372</v>
      </c>
      <c r="Z19" s="1" t="s">
        <v>373</v>
      </c>
      <c r="AB19" s="1" t="s">
        <v>66</v>
      </c>
      <c r="AH19" t="s">
        <v>374</v>
      </c>
      <c r="AN19" t="s">
        <v>68</v>
      </c>
      <c r="AP19" t="s">
        <v>281</v>
      </c>
      <c r="AV19" t="s">
        <v>375</v>
      </c>
    </row>
    <row r="20" spans="2:48" x14ac:dyDescent="0.25">
      <c r="B20" s="1" t="s">
        <v>117</v>
      </c>
      <c r="C20" s="1" t="s">
        <v>369</v>
      </c>
      <c r="D20" s="1" t="s">
        <v>370</v>
      </c>
      <c r="G20" t="s">
        <v>274</v>
      </c>
      <c r="H20" t="s">
        <v>392</v>
      </c>
      <c r="I20" s="3" t="s">
        <v>58</v>
      </c>
      <c r="J20" s="1" t="s">
        <v>117</v>
      </c>
      <c r="K20" s="1" t="s">
        <v>59</v>
      </c>
      <c r="L20" s="1" t="s">
        <v>119</v>
      </c>
      <c r="M20" s="1" t="s">
        <v>61</v>
      </c>
      <c r="S20" s="1" t="s">
        <v>62</v>
      </c>
      <c r="T20" s="1" t="s">
        <v>63</v>
      </c>
      <c r="U20" s="1" t="s">
        <v>63</v>
      </c>
      <c r="V20" s="1" t="s">
        <v>59</v>
      </c>
      <c r="W20" s="1" t="s">
        <v>372</v>
      </c>
      <c r="Z20" s="1" t="s">
        <v>373</v>
      </c>
      <c r="AB20" s="1" t="s">
        <v>66</v>
      </c>
      <c r="AH20" t="s">
        <v>374</v>
      </c>
      <c r="AN20" t="s">
        <v>68</v>
      </c>
      <c r="AP20" t="s">
        <v>281</v>
      </c>
      <c r="AV20" t="s">
        <v>375</v>
      </c>
    </row>
  </sheetData>
  <sheetProtection formatCells="0" formatColumns="0" insertColumns="0" deleteColumns="0"/>
  <dataValidations count="2">
    <dataValidation type="list" allowBlank="1" showInputMessage="1" showErrorMessage="1" sqref="AE3:AE20" xr:uid="{00000000-0002-0000-0800-000000000000}">
      <formula1>"LB,KG"</formula1>
    </dataValidation>
    <dataValidation type="decimal" allowBlank="1" showInputMessage="1" showErrorMessage="1" sqref="AT3:AT20 AN3:AN20 AJ3:AJ20 AD3:AD20 T3:U20 Q3:Q20 L3:L20 J3:J20" xr:uid="{00000000-0002-0000-08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20"/>
  <sheetViews>
    <sheetView topLeftCell="A2" workbookViewId="0">
      <selection activeCell="P30" sqref="P30"/>
    </sheetView>
  </sheetViews>
  <sheetFormatPr defaultRowHeight="15" x14ac:dyDescent="0.25"/>
  <cols>
    <col min="1" max="6" width="9.140625" style="1" customWidth="1"/>
    <col min="7" max="8" width="9.140625" hidden="1" customWidth="1"/>
    <col min="9" max="33" width="9.140625" style="1" customWidth="1"/>
    <col min="34" max="36" width="9.140625" hidden="1" customWidth="1"/>
    <col min="37" max="39" width="9.140625" style="1" customWidth="1"/>
    <col min="40" max="40" width="9.140625" hidden="1" customWidth="1"/>
    <col min="41" max="41" width="9.140625" style="1" customWidth="1"/>
    <col min="42" max="44" width="9.140625" hidden="1" customWidth="1"/>
    <col min="45" max="47" width="9.140625" style="1" customWidth="1"/>
    <col min="48" max="49" width="9.140625" hidden="1" customWidth="1"/>
    <col min="50" max="50" width="9.140625" customWidth="1"/>
  </cols>
  <sheetData>
    <row r="1" spans="1:49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s="1" t="s">
        <v>268</v>
      </c>
      <c r="G1" t="s">
        <v>6</v>
      </c>
      <c r="H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t="s">
        <v>39</v>
      </c>
      <c r="AO1" s="1" t="s">
        <v>40</v>
      </c>
      <c r="AP1" t="s">
        <v>41</v>
      </c>
      <c r="AQ1" t="s">
        <v>42</v>
      </c>
      <c r="AR1" t="s">
        <v>43</v>
      </c>
      <c r="AS1" s="1" t="s">
        <v>44</v>
      </c>
      <c r="AT1" s="1" t="s">
        <v>45</v>
      </c>
      <c r="AU1" s="1" t="s">
        <v>271</v>
      </c>
      <c r="AV1" t="s">
        <v>50</v>
      </c>
      <c r="AW1" t="s">
        <v>51</v>
      </c>
    </row>
    <row r="2" spans="1:49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268</v>
      </c>
      <c r="G2" s="2" t="s">
        <v>6</v>
      </c>
      <c r="H2" s="2" t="s">
        <v>7</v>
      </c>
      <c r="I2" s="4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271</v>
      </c>
      <c r="AV2" s="2" t="s">
        <v>50</v>
      </c>
      <c r="AW2" s="2" t="s">
        <v>51</v>
      </c>
    </row>
    <row r="3" spans="1:49" x14ac:dyDescent="0.25">
      <c r="B3" s="1" t="s">
        <v>54</v>
      </c>
      <c r="C3" s="1" t="s">
        <v>393</v>
      </c>
      <c r="D3" s="1" t="s">
        <v>394</v>
      </c>
      <c r="G3" t="s">
        <v>274</v>
      </c>
      <c r="H3" t="s">
        <v>395</v>
      </c>
      <c r="I3" s="3" t="s">
        <v>58</v>
      </c>
      <c r="J3" s="1" t="s">
        <v>54</v>
      </c>
      <c r="K3" s="1" t="s">
        <v>59</v>
      </c>
      <c r="L3" s="1" t="s">
        <v>60</v>
      </c>
      <c r="M3" s="1" t="s">
        <v>61</v>
      </c>
      <c r="S3" s="1" t="s">
        <v>62</v>
      </c>
      <c r="T3" s="1" t="s">
        <v>63</v>
      </c>
      <c r="U3" s="1" t="s">
        <v>63</v>
      </c>
      <c r="V3" s="1" t="s">
        <v>59</v>
      </c>
      <c r="W3" s="1" t="s">
        <v>396</v>
      </c>
      <c r="Z3" s="1" t="s">
        <v>397</v>
      </c>
      <c r="AB3" s="1" t="s">
        <v>66</v>
      </c>
      <c r="AH3" t="s">
        <v>398</v>
      </c>
      <c r="AN3" t="s">
        <v>68</v>
      </c>
      <c r="AP3" t="s">
        <v>281</v>
      </c>
      <c r="AV3" t="s">
        <v>375</v>
      </c>
    </row>
    <row r="4" spans="1:49" x14ac:dyDescent="0.25">
      <c r="B4" s="1" t="s">
        <v>71</v>
      </c>
      <c r="C4" s="1" t="s">
        <v>393</v>
      </c>
      <c r="D4" s="1" t="s">
        <v>394</v>
      </c>
      <c r="G4" t="s">
        <v>274</v>
      </c>
      <c r="H4" t="s">
        <v>399</v>
      </c>
      <c r="I4" s="3" t="s">
        <v>58</v>
      </c>
      <c r="J4" s="1" t="s">
        <v>71</v>
      </c>
      <c r="K4" s="1" t="s">
        <v>59</v>
      </c>
      <c r="L4" s="1" t="s">
        <v>73</v>
      </c>
      <c r="M4" s="1" t="s">
        <v>61</v>
      </c>
      <c r="S4" s="1" t="s">
        <v>62</v>
      </c>
      <c r="T4" s="1" t="s">
        <v>63</v>
      </c>
      <c r="U4" s="1" t="s">
        <v>63</v>
      </c>
      <c r="V4" s="1" t="s">
        <v>59</v>
      </c>
      <c r="W4" s="1" t="s">
        <v>396</v>
      </c>
      <c r="Z4" s="1" t="s">
        <v>397</v>
      </c>
      <c r="AB4" s="1" t="s">
        <v>66</v>
      </c>
      <c r="AH4" t="s">
        <v>398</v>
      </c>
      <c r="AN4" t="s">
        <v>68</v>
      </c>
      <c r="AP4" t="s">
        <v>281</v>
      </c>
      <c r="AV4" t="s">
        <v>375</v>
      </c>
    </row>
    <row r="5" spans="1:49" x14ac:dyDescent="0.25">
      <c r="B5" s="1" t="s">
        <v>74</v>
      </c>
      <c r="C5" s="1" t="s">
        <v>393</v>
      </c>
      <c r="D5" s="1" t="s">
        <v>394</v>
      </c>
      <c r="G5" t="s">
        <v>274</v>
      </c>
      <c r="H5" t="s">
        <v>400</v>
      </c>
      <c r="I5" s="3" t="s">
        <v>58</v>
      </c>
      <c r="J5" s="1" t="s">
        <v>74</v>
      </c>
      <c r="K5" s="1" t="s">
        <v>59</v>
      </c>
      <c r="L5" s="1" t="s">
        <v>76</v>
      </c>
      <c r="M5" s="1" t="s">
        <v>61</v>
      </c>
      <c r="S5" s="1" t="s">
        <v>62</v>
      </c>
      <c r="T5" s="1" t="s">
        <v>63</v>
      </c>
      <c r="U5" s="1" t="s">
        <v>63</v>
      </c>
      <c r="V5" s="1" t="s">
        <v>59</v>
      </c>
      <c r="W5" s="1" t="s">
        <v>396</v>
      </c>
      <c r="Z5" s="1" t="s">
        <v>397</v>
      </c>
      <c r="AB5" s="1" t="s">
        <v>66</v>
      </c>
      <c r="AH5" t="s">
        <v>398</v>
      </c>
      <c r="AN5" t="s">
        <v>68</v>
      </c>
      <c r="AP5" t="s">
        <v>281</v>
      </c>
      <c r="AV5" t="s">
        <v>375</v>
      </c>
    </row>
    <row r="6" spans="1:49" x14ac:dyDescent="0.25">
      <c r="B6" s="1" t="s">
        <v>77</v>
      </c>
      <c r="C6" s="1" t="s">
        <v>393</v>
      </c>
      <c r="D6" s="1" t="s">
        <v>394</v>
      </c>
      <c r="G6" t="s">
        <v>274</v>
      </c>
      <c r="H6" t="s">
        <v>401</v>
      </c>
      <c r="I6" s="3" t="s">
        <v>58</v>
      </c>
      <c r="J6" s="1" t="s">
        <v>77</v>
      </c>
      <c r="K6" s="1" t="s">
        <v>59</v>
      </c>
      <c r="L6" s="1" t="s">
        <v>79</v>
      </c>
      <c r="M6" s="1" t="s">
        <v>61</v>
      </c>
      <c r="S6" s="1" t="s">
        <v>62</v>
      </c>
      <c r="T6" s="1" t="s">
        <v>63</v>
      </c>
      <c r="U6" s="1" t="s">
        <v>63</v>
      </c>
      <c r="V6" s="1" t="s">
        <v>59</v>
      </c>
      <c r="W6" s="1" t="s">
        <v>396</v>
      </c>
      <c r="Z6" s="1" t="s">
        <v>397</v>
      </c>
      <c r="AB6" s="1" t="s">
        <v>66</v>
      </c>
      <c r="AH6" t="s">
        <v>398</v>
      </c>
      <c r="AN6" t="s">
        <v>68</v>
      </c>
      <c r="AP6" t="s">
        <v>281</v>
      </c>
      <c r="AV6" t="s">
        <v>375</v>
      </c>
    </row>
    <row r="7" spans="1:49" x14ac:dyDescent="0.25">
      <c r="B7" s="1" t="s">
        <v>62</v>
      </c>
      <c r="C7" s="1" t="s">
        <v>393</v>
      </c>
      <c r="D7" s="1" t="s">
        <v>394</v>
      </c>
      <c r="G7" t="s">
        <v>274</v>
      </c>
      <c r="H7" t="s">
        <v>402</v>
      </c>
      <c r="I7" s="3" t="s">
        <v>58</v>
      </c>
      <c r="J7" s="1" t="s">
        <v>62</v>
      </c>
      <c r="K7" s="1" t="s">
        <v>59</v>
      </c>
      <c r="L7" s="1" t="s">
        <v>82</v>
      </c>
      <c r="M7" s="1" t="s">
        <v>61</v>
      </c>
      <c r="S7" s="1" t="s">
        <v>62</v>
      </c>
      <c r="T7" s="1" t="s">
        <v>63</v>
      </c>
      <c r="U7" s="1" t="s">
        <v>63</v>
      </c>
      <c r="V7" s="1" t="s">
        <v>59</v>
      </c>
      <c r="W7" s="1" t="s">
        <v>396</v>
      </c>
      <c r="Z7" s="1" t="s">
        <v>397</v>
      </c>
      <c r="AB7" s="1" t="s">
        <v>66</v>
      </c>
      <c r="AH7" t="s">
        <v>398</v>
      </c>
      <c r="AN7" t="s">
        <v>68</v>
      </c>
      <c r="AP7" t="s">
        <v>281</v>
      </c>
      <c r="AV7" t="s">
        <v>375</v>
      </c>
    </row>
    <row r="8" spans="1:49" x14ac:dyDescent="0.25">
      <c r="B8" s="1" t="s">
        <v>83</v>
      </c>
      <c r="C8" s="1" t="s">
        <v>393</v>
      </c>
      <c r="D8" s="1" t="s">
        <v>394</v>
      </c>
      <c r="G8" t="s">
        <v>274</v>
      </c>
      <c r="H8" t="s">
        <v>403</v>
      </c>
      <c r="I8" s="3" t="s">
        <v>58</v>
      </c>
      <c r="J8" s="1" t="s">
        <v>83</v>
      </c>
      <c r="K8" s="1" t="s">
        <v>59</v>
      </c>
      <c r="L8" s="1" t="s">
        <v>85</v>
      </c>
      <c r="M8" s="1" t="s">
        <v>61</v>
      </c>
      <c r="S8" s="1" t="s">
        <v>62</v>
      </c>
      <c r="T8" s="1" t="s">
        <v>63</v>
      </c>
      <c r="U8" s="1" t="s">
        <v>63</v>
      </c>
      <c r="V8" s="1" t="s">
        <v>59</v>
      </c>
      <c r="W8" s="1" t="s">
        <v>396</v>
      </c>
      <c r="Z8" s="1" t="s">
        <v>397</v>
      </c>
      <c r="AB8" s="1" t="s">
        <v>66</v>
      </c>
      <c r="AH8" t="s">
        <v>398</v>
      </c>
      <c r="AN8" t="s">
        <v>68</v>
      </c>
      <c r="AP8" t="s">
        <v>281</v>
      </c>
      <c r="AV8" t="s">
        <v>375</v>
      </c>
    </row>
    <row r="9" spans="1:49" x14ac:dyDescent="0.25">
      <c r="B9" s="1" t="s">
        <v>86</v>
      </c>
      <c r="C9" s="1" t="s">
        <v>393</v>
      </c>
      <c r="D9" s="1" t="s">
        <v>394</v>
      </c>
      <c r="G9" t="s">
        <v>274</v>
      </c>
      <c r="H9" t="s">
        <v>404</v>
      </c>
      <c r="I9" s="3" t="s">
        <v>58</v>
      </c>
      <c r="J9" s="1" t="s">
        <v>86</v>
      </c>
      <c r="K9" s="1" t="s">
        <v>59</v>
      </c>
      <c r="L9" s="1" t="s">
        <v>88</v>
      </c>
      <c r="M9" s="1" t="s">
        <v>61</v>
      </c>
      <c r="S9" s="1" t="s">
        <v>62</v>
      </c>
      <c r="T9" s="1" t="s">
        <v>63</v>
      </c>
      <c r="U9" s="1" t="s">
        <v>63</v>
      </c>
      <c r="V9" s="1" t="s">
        <v>59</v>
      </c>
      <c r="W9" s="1" t="s">
        <v>396</v>
      </c>
      <c r="Z9" s="1" t="s">
        <v>397</v>
      </c>
      <c r="AB9" s="1" t="s">
        <v>66</v>
      </c>
      <c r="AH9" t="s">
        <v>398</v>
      </c>
      <c r="AN9" t="s">
        <v>68</v>
      </c>
      <c r="AP9" t="s">
        <v>281</v>
      </c>
      <c r="AV9" t="s">
        <v>375</v>
      </c>
    </row>
    <row r="10" spans="1:49" x14ac:dyDescent="0.25">
      <c r="B10" s="1" t="s">
        <v>89</v>
      </c>
      <c r="C10" s="1" t="s">
        <v>393</v>
      </c>
      <c r="D10" s="1" t="s">
        <v>394</v>
      </c>
      <c r="G10" t="s">
        <v>274</v>
      </c>
      <c r="H10" t="s">
        <v>405</v>
      </c>
      <c r="I10" s="3" t="s">
        <v>58</v>
      </c>
      <c r="J10" s="1" t="s">
        <v>89</v>
      </c>
      <c r="K10" s="1" t="s">
        <v>59</v>
      </c>
      <c r="L10" s="1" t="s">
        <v>91</v>
      </c>
      <c r="M10" s="1" t="s">
        <v>61</v>
      </c>
      <c r="S10" s="1" t="s">
        <v>62</v>
      </c>
      <c r="T10" s="1" t="s">
        <v>63</v>
      </c>
      <c r="U10" s="1" t="s">
        <v>63</v>
      </c>
      <c r="V10" s="1" t="s">
        <v>59</v>
      </c>
      <c r="W10" s="1" t="s">
        <v>396</v>
      </c>
      <c r="Z10" s="1" t="s">
        <v>397</v>
      </c>
      <c r="AB10" s="1" t="s">
        <v>66</v>
      </c>
      <c r="AH10" t="s">
        <v>398</v>
      </c>
      <c r="AN10" t="s">
        <v>68</v>
      </c>
      <c r="AP10" t="s">
        <v>281</v>
      </c>
      <c r="AV10" t="s">
        <v>375</v>
      </c>
    </row>
    <row r="11" spans="1:49" x14ac:dyDescent="0.25">
      <c r="B11" s="1" t="s">
        <v>92</v>
      </c>
      <c r="C11" s="1" t="s">
        <v>393</v>
      </c>
      <c r="D11" s="1" t="s">
        <v>394</v>
      </c>
      <c r="G11" t="s">
        <v>274</v>
      </c>
      <c r="H11" t="s">
        <v>406</v>
      </c>
      <c r="I11" s="3" t="s">
        <v>58</v>
      </c>
      <c r="J11" s="1" t="s">
        <v>92</v>
      </c>
      <c r="K11" s="1" t="s">
        <v>59</v>
      </c>
      <c r="L11" s="1" t="s">
        <v>92</v>
      </c>
      <c r="M11" s="1" t="s">
        <v>61</v>
      </c>
      <c r="S11" s="1" t="s">
        <v>62</v>
      </c>
      <c r="T11" s="1" t="s">
        <v>63</v>
      </c>
      <c r="U11" s="1" t="s">
        <v>63</v>
      </c>
      <c r="V11" s="1" t="s">
        <v>59</v>
      </c>
      <c r="W11" s="1" t="s">
        <v>396</v>
      </c>
      <c r="Z11" s="1" t="s">
        <v>397</v>
      </c>
      <c r="AB11" s="1" t="s">
        <v>66</v>
      </c>
      <c r="AH11" t="s">
        <v>398</v>
      </c>
      <c r="AN11" t="s">
        <v>68</v>
      </c>
      <c r="AP11" t="s">
        <v>281</v>
      </c>
      <c r="AV11" t="s">
        <v>375</v>
      </c>
    </row>
    <row r="12" spans="1:49" x14ac:dyDescent="0.25">
      <c r="B12" s="1" t="s">
        <v>94</v>
      </c>
      <c r="C12" s="1" t="s">
        <v>393</v>
      </c>
      <c r="D12" s="1" t="s">
        <v>394</v>
      </c>
      <c r="G12" t="s">
        <v>274</v>
      </c>
      <c r="H12" t="s">
        <v>407</v>
      </c>
      <c r="I12" s="3" t="s">
        <v>58</v>
      </c>
      <c r="J12" s="1" t="s">
        <v>94</v>
      </c>
      <c r="K12" s="1" t="s">
        <v>59</v>
      </c>
      <c r="L12" s="1" t="s">
        <v>96</v>
      </c>
      <c r="M12" s="1" t="s">
        <v>61</v>
      </c>
      <c r="S12" s="1" t="s">
        <v>62</v>
      </c>
      <c r="T12" s="1" t="s">
        <v>63</v>
      </c>
      <c r="U12" s="1" t="s">
        <v>63</v>
      </c>
      <c r="V12" s="1" t="s">
        <v>59</v>
      </c>
      <c r="W12" s="1" t="s">
        <v>396</v>
      </c>
      <c r="Z12" s="1" t="s">
        <v>397</v>
      </c>
      <c r="AB12" s="1" t="s">
        <v>66</v>
      </c>
      <c r="AH12" t="s">
        <v>398</v>
      </c>
      <c r="AN12" t="s">
        <v>68</v>
      </c>
      <c r="AP12" t="s">
        <v>281</v>
      </c>
      <c r="AV12" t="s">
        <v>375</v>
      </c>
    </row>
    <row r="13" spans="1:49" x14ac:dyDescent="0.25">
      <c r="B13" s="1" t="s">
        <v>97</v>
      </c>
      <c r="C13" s="1" t="s">
        <v>393</v>
      </c>
      <c r="D13" s="1" t="s">
        <v>394</v>
      </c>
      <c r="G13" t="s">
        <v>274</v>
      </c>
      <c r="H13" t="s">
        <v>408</v>
      </c>
      <c r="I13" s="3" t="s">
        <v>58</v>
      </c>
      <c r="J13" s="1" t="s">
        <v>97</v>
      </c>
      <c r="K13" s="1" t="s">
        <v>59</v>
      </c>
      <c r="L13" s="1" t="s">
        <v>97</v>
      </c>
      <c r="M13" s="1" t="s">
        <v>61</v>
      </c>
      <c r="S13" s="1" t="s">
        <v>62</v>
      </c>
      <c r="T13" s="1" t="s">
        <v>63</v>
      </c>
      <c r="U13" s="1" t="s">
        <v>63</v>
      </c>
      <c r="V13" s="1" t="s">
        <v>59</v>
      </c>
      <c r="W13" s="1" t="s">
        <v>396</v>
      </c>
      <c r="Z13" s="1" t="s">
        <v>397</v>
      </c>
      <c r="AB13" s="1" t="s">
        <v>66</v>
      </c>
      <c r="AH13" t="s">
        <v>398</v>
      </c>
      <c r="AN13" t="s">
        <v>68</v>
      </c>
      <c r="AP13" t="s">
        <v>281</v>
      </c>
      <c r="AV13" t="s">
        <v>375</v>
      </c>
    </row>
    <row r="14" spans="1:49" x14ac:dyDescent="0.25">
      <c r="B14" s="1" t="s">
        <v>99</v>
      </c>
      <c r="C14" s="1" t="s">
        <v>393</v>
      </c>
      <c r="D14" s="1" t="s">
        <v>394</v>
      </c>
      <c r="G14" t="s">
        <v>274</v>
      </c>
      <c r="H14" t="s">
        <v>409</v>
      </c>
      <c r="I14" s="3" t="s">
        <v>58</v>
      </c>
      <c r="J14" s="1" t="s">
        <v>99</v>
      </c>
      <c r="K14" s="1" t="s">
        <v>59</v>
      </c>
      <c r="L14" s="1" t="s">
        <v>101</v>
      </c>
      <c r="M14" s="1" t="s">
        <v>61</v>
      </c>
      <c r="S14" s="1" t="s">
        <v>62</v>
      </c>
      <c r="T14" s="1" t="s">
        <v>63</v>
      </c>
      <c r="U14" s="1" t="s">
        <v>63</v>
      </c>
      <c r="V14" s="1" t="s">
        <v>59</v>
      </c>
      <c r="W14" s="1" t="s">
        <v>396</v>
      </c>
      <c r="Z14" s="1" t="s">
        <v>397</v>
      </c>
      <c r="AB14" s="1" t="s">
        <v>66</v>
      </c>
      <c r="AH14" t="s">
        <v>398</v>
      </c>
      <c r="AN14" t="s">
        <v>68</v>
      </c>
      <c r="AP14" t="s">
        <v>281</v>
      </c>
      <c r="AV14" t="s">
        <v>375</v>
      </c>
    </row>
    <row r="15" spans="1:49" x14ac:dyDescent="0.25">
      <c r="B15" s="1" t="s">
        <v>102</v>
      </c>
      <c r="C15" s="1" t="s">
        <v>393</v>
      </c>
      <c r="D15" s="1" t="s">
        <v>394</v>
      </c>
      <c r="G15" t="s">
        <v>274</v>
      </c>
      <c r="H15" t="s">
        <v>410</v>
      </c>
      <c r="I15" s="3" t="s">
        <v>58</v>
      </c>
      <c r="J15" s="1" t="s">
        <v>102</v>
      </c>
      <c r="K15" s="1" t="s">
        <v>59</v>
      </c>
      <c r="L15" s="1" t="s">
        <v>104</v>
      </c>
      <c r="M15" s="1" t="s">
        <v>61</v>
      </c>
      <c r="S15" s="1" t="s">
        <v>62</v>
      </c>
      <c r="T15" s="1" t="s">
        <v>63</v>
      </c>
      <c r="U15" s="1" t="s">
        <v>63</v>
      </c>
      <c r="V15" s="1" t="s">
        <v>59</v>
      </c>
      <c r="W15" s="1" t="s">
        <v>396</v>
      </c>
      <c r="Z15" s="1" t="s">
        <v>397</v>
      </c>
      <c r="AB15" s="1" t="s">
        <v>66</v>
      </c>
      <c r="AH15" t="s">
        <v>398</v>
      </c>
      <c r="AN15" t="s">
        <v>68</v>
      </c>
      <c r="AP15" t="s">
        <v>281</v>
      </c>
      <c r="AV15" t="s">
        <v>375</v>
      </c>
    </row>
    <row r="16" spans="1:49" x14ac:dyDescent="0.25">
      <c r="B16" s="1" t="s">
        <v>105</v>
      </c>
      <c r="C16" s="1" t="s">
        <v>393</v>
      </c>
      <c r="D16" s="1" t="s">
        <v>394</v>
      </c>
      <c r="G16" t="s">
        <v>274</v>
      </c>
      <c r="H16" t="s">
        <v>411</v>
      </c>
      <c r="I16" s="3" t="s">
        <v>58</v>
      </c>
      <c r="J16" s="1" t="s">
        <v>105</v>
      </c>
      <c r="K16" s="1" t="s">
        <v>59</v>
      </c>
      <c r="L16" s="1" t="s">
        <v>107</v>
      </c>
      <c r="M16" s="1" t="s">
        <v>61</v>
      </c>
      <c r="S16" s="1" t="s">
        <v>62</v>
      </c>
      <c r="T16" s="1" t="s">
        <v>63</v>
      </c>
      <c r="U16" s="1" t="s">
        <v>63</v>
      </c>
      <c r="V16" s="1" t="s">
        <v>59</v>
      </c>
      <c r="W16" s="1" t="s">
        <v>396</v>
      </c>
      <c r="Z16" s="1" t="s">
        <v>397</v>
      </c>
      <c r="AB16" s="1" t="s">
        <v>66</v>
      </c>
      <c r="AH16" t="s">
        <v>398</v>
      </c>
      <c r="AN16" t="s">
        <v>68</v>
      </c>
      <c r="AP16" t="s">
        <v>281</v>
      </c>
      <c r="AV16" t="s">
        <v>375</v>
      </c>
    </row>
    <row r="17" spans="2:48" x14ac:dyDescent="0.25">
      <c r="B17" s="1" t="s">
        <v>108</v>
      </c>
      <c r="C17" s="1" t="s">
        <v>393</v>
      </c>
      <c r="D17" s="1" t="s">
        <v>394</v>
      </c>
      <c r="G17" t="s">
        <v>274</v>
      </c>
      <c r="H17" t="s">
        <v>412</v>
      </c>
      <c r="I17" s="3" t="s">
        <v>58</v>
      </c>
      <c r="J17" s="1" t="s">
        <v>108</v>
      </c>
      <c r="K17" s="1" t="s">
        <v>59</v>
      </c>
      <c r="L17" s="1" t="s">
        <v>110</v>
      </c>
      <c r="M17" s="1" t="s">
        <v>61</v>
      </c>
      <c r="S17" s="1" t="s">
        <v>62</v>
      </c>
      <c r="T17" s="1" t="s">
        <v>63</v>
      </c>
      <c r="U17" s="1" t="s">
        <v>63</v>
      </c>
      <c r="V17" s="1" t="s">
        <v>59</v>
      </c>
      <c r="W17" s="1" t="s">
        <v>396</v>
      </c>
      <c r="Z17" s="1" t="s">
        <v>397</v>
      </c>
      <c r="AB17" s="1" t="s">
        <v>66</v>
      </c>
      <c r="AH17" t="s">
        <v>398</v>
      </c>
      <c r="AN17" t="s">
        <v>68</v>
      </c>
      <c r="AP17" t="s">
        <v>281</v>
      </c>
      <c r="AV17" t="s">
        <v>375</v>
      </c>
    </row>
    <row r="18" spans="2:48" x14ac:dyDescent="0.25">
      <c r="B18" s="1" t="s">
        <v>111</v>
      </c>
      <c r="C18" s="1" t="s">
        <v>393</v>
      </c>
      <c r="D18" s="1" t="s">
        <v>394</v>
      </c>
      <c r="G18" t="s">
        <v>274</v>
      </c>
      <c r="H18" t="s">
        <v>413</v>
      </c>
      <c r="I18" s="3" t="s">
        <v>58</v>
      </c>
      <c r="J18" s="1" t="s">
        <v>111</v>
      </c>
      <c r="K18" s="1" t="s">
        <v>59</v>
      </c>
      <c r="L18" s="1" t="s">
        <v>113</v>
      </c>
      <c r="M18" s="1" t="s">
        <v>61</v>
      </c>
      <c r="S18" s="1" t="s">
        <v>62</v>
      </c>
      <c r="T18" s="1" t="s">
        <v>63</v>
      </c>
      <c r="U18" s="1" t="s">
        <v>63</v>
      </c>
      <c r="V18" s="1" t="s">
        <v>59</v>
      </c>
      <c r="W18" s="1" t="s">
        <v>396</v>
      </c>
      <c r="Z18" s="1" t="s">
        <v>397</v>
      </c>
      <c r="AB18" s="1" t="s">
        <v>66</v>
      </c>
      <c r="AH18" t="s">
        <v>398</v>
      </c>
      <c r="AN18" t="s">
        <v>68</v>
      </c>
      <c r="AP18" t="s">
        <v>281</v>
      </c>
      <c r="AV18" t="s">
        <v>375</v>
      </c>
    </row>
    <row r="19" spans="2:48" x14ac:dyDescent="0.25">
      <c r="B19" s="1" t="s">
        <v>114</v>
      </c>
      <c r="C19" s="1" t="s">
        <v>393</v>
      </c>
      <c r="D19" s="1" t="s">
        <v>394</v>
      </c>
      <c r="G19" t="s">
        <v>274</v>
      </c>
      <c r="H19" t="s">
        <v>414</v>
      </c>
      <c r="I19" s="3" t="s">
        <v>58</v>
      </c>
      <c r="J19" s="1" t="s">
        <v>114</v>
      </c>
      <c r="K19" s="1" t="s">
        <v>59</v>
      </c>
      <c r="L19" s="1" t="s">
        <v>116</v>
      </c>
      <c r="M19" s="1" t="s">
        <v>61</v>
      </c>
      <c r="S19" s="1" t="s">
        <v>62</v>
      </c>
      <c r="T19" s="1" t="s">
        <v>63</v>
      </c>
      <c r="U19" s="1" t="s">
        <v>63</v>
      </c>
      <c r="V19" s="1" t="s">
        <v>59</v>
      </c>
      <c r="W19" s="1" t="s">
        <v>396</v>
      </c>
      <c r="Z19" s="1" t="s">
        <v>397</v>
      </c>
      <c r="AB19" s="1" t="s">
        <v>66</v>
      </c>
      <c r="AH19" t="s">
        <v>398</v>
      </c>
      <c r="AN19" t="s">
        <v>68</v>
      </c>
      <c r="AP19" t="s">
        <v>281</v>
      </c>
      <c r="AV19" t="s">
        <v>375</v>
      </c>
    </row>
    <row r="20" spans="2:48" x14ac:dyDescent="0.25">
      <c r="B20" s="1" t="s">
        <v>117</v>
      </c>
      <c r="C20" s="1" t="s">
        <v>393</v>
      </c>
      <c r="D20" s="1" t="s">
        <v>394</v>
      </c>
      <c r="G20" t="s">
        <v>274</v>
      </c>
      <c r="H20" t="s">
        <v>415</v>
      </c>
      <c r="I20" s="3" t="s">
        <v>58</v>
      </c>
      <c r="J20" s="1" t="s">
        <v>117</v>
      </c>
      <c r="K20" s="1" t="s">
        <v>59</v>
      </c>
      <c r="L20" s="1" t="s">
        <v>119</v>
      </c>
      <c r="M20" s="1" t="s">
        <v>61</v>
      </c>
      <c r="S20" s="1" t="s">
        <v>62</v>
      </c>
      <c r="T20" s="1" t="s">
        <v>63</v>
      </c>
      <c r="U20" s="1" t="s">
        <v>63</v>
      </c>
      <c r="V20" s="1" t="s">
        <v>59</v>
      </c>
      <c r="W20" s="1" t="s">
        <v>396</v>
      </c>
      <c r="Z20" s="1" t="s">
        <v>397</v>
      </c>
      <c r="AB20" s="1" t="s">
        <v>66</v>
      </c>
      <c r="AH20" t="s">
        <v>398</v>
      </c>
      <c r="AN20" t="s">
        <v>68</v>
      </c>
      <c r="AP20" t="s">
        <v>281</v>
      </c>
      <c r="AV20" t="s">
        <v>375</v>
      </c>
    </row>
  </sheetData>
  <sheetProtection formatCells="0" formatColumns="0" insertColumns="0" deleteColumns="0"/>
  <dataValidations count="2">
    <dataValidation type="list" allowBlank="1" showInputMessage="1" showErrorMessage="1" sqref="AE3:AE20" xr:uid="{00000000-0002-0000-0900-000000000000}">
      <formula1>"LB,KG"</formula1>
    </dataValidation>
    <dataValidation type="decimal" allowBlank="1" showInputMessage="1" showErrorMessage="1" sqref="AT3:AT20 AN3:AN20 AJ3:AJ20 AD3:AD20 T3:U20 Q3:Q20 L3:L20 J3:J20" xr:uid="{00000000-0002-0000-09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20"/>
  <sheetViews>
    <sheetView tabSelected="1" topLeftCell="F2" workbookViewId="0">
      <selection activeCell="K32" sqref="K32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7.140625" style="1" bestFit="1" customWidth="1"/>
    <col min="4" max="4" width="115.28515625" style="1" bestFit="1" customWidth="1"/>
    <col min="5" max="5" width="3.7109375" style="1" bestFit="1" customWidth="1"/>
    <col min="6" max="6" width="32.42578125" bestFit="1" customWidth="1"/>
    <col min="7" max="7" width="37.7109375" bestFit="1" customWidth="1"/>
    <col min="8" max="8" width="15.85546875" style="1" bestFit="1" customWidth="1"/>
    <col min="9" max="9" width="23" style="1" bestFit="1" customWidth="1"/>
    <col min="10" max="10" width="18.42578125" style="1" bestFit="1" customWidth="1"/>
    <col min="11" max="11" width="22" style="1" bestFit="1" customWidth="1"/>
    <col min="12" max="12" width="14.42578125" style="1" bestFit="1" customWidth="1"/>
    <col min="13" max="13" width="15.5703125" style="1" bestFit="1" customWidth="1"/>
    <col min="14" max="14" width="15.85546875" style="1" bestFit="1" customWidth="1"/>
    <col min="15" max="15" width="12.28515625" style="1" bestFit="1" customWidth="1"/>
    <col min="16" max="16" width="21.5703125" style="1" bestFit="1" customWidth="1"/>
    <col min="17" max="17" width="19.140625" style="1" bestFit="1" customWidth="1"/>
    <col min="18" max="18" width="15" style="1" bestFit="1" customWidth="1"/>
    <col min="19" max="19" width="19.7109375" style="1" bestFit="1" customWidth="1"/>
    <col min="20" max="20" width="24.140625" style="1" bestFit="1" customWidth="1"/>
    <col min="21" max="21" width="16.7109375" style="1" bestFit="1" customWidth="1"/>
    <col min="22" max="22" width="21.5703125" style="1" bestFit="1" customWidth="1"/>
    <col min="23" max="23" width="19.42578125" style="1" bestFit="1" customWidth="1"/>
    <col min="24" max="24" width="9.85546875" style="1" bestFit="1" customWidth="1"/>
    <col min="25" max="25" width="56.7109375" style="1" bestFit="1" customWidth="1"/>
    <col min="26" max="26" width="62" style="1" bestFit="1" customWidth="1"/>
    <col min="27" max="27" width="8.5703125" style="1" bestFit="1" customWidth="1"/>
    <col min="28" max="28" width="13.28515625" style="1" bestFit="1" customWidth="1"/>
    <col min="29" max="29" width="7.5703125" style="1" bestFit="1" customWidth="1"/>
    <col min="30" max="30" width="11.42578125" style="1" bestFit="1" customWidth="1"/>
    <col min="31" max="32" width="5.28515625" style="1" bestFit="1" customWidth="1"/>
    <col min="33" max="33" width="37.7109375" bestFit="1" customWidth="1"/>
    <col min="34" max="34" width="19" bestFit="1" customWidth="1"/>
    <col min="35" max="35" width="10" bestFit="1" customWidth="1"/>
    <col min="36" max="36" width="13.28515625" style="1" bestFit="1" customWidth="1"/>
    <col min="37" max="37" width="9.7109375" style="1" bestFit="1" customWidth="1"/>
    <col min="38" max="38" width="20.42578125" style="1" bestFit="1" customWidth="1"/>
    <col min="39" max="39" width="20.42578125" bestFit="1" customWidth="1"/>
    <col min="40" max="40" width="22.42578125" style="1" bestFit="1" customWidth="1"/>
    <col min="41" max="41" width="12.42578125" bestFit="1" customWidth="1"/>
    <col min="42" max="42" width="26.85546875" bestFit="1" customWidth="1"/>
    <col min="43" max="43" width="11.42578125" bestFit="1" customWidth="1"/>
    <col min="44" max="44" width="6.42578125" style="1" bestFit="1" customWidth="1"/>
    <col min="45" max="45" width="10.140625" style="1" bestFit="1" customWidth="1"/>
    <col min="46" max="46" width="12" style="1" bestFit="1" customWidth="1"/>
    <col min="47" max="47" width="14.28515625" style="1" bestFit="1" customWidth="1"/>
    <col min="48" max="48" width="14.28515625" bestFit="1" customWidth="1"/>
    <col min="49" max="49" width="22.7109375" bestFit="1" customWidth="1"/>
    <col min="50" max="50" width="9.140625" customWidth="1"/>
  </cols>
  <sheetData>
    <row r="1" spans="1:49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t="s">
        <v>6</v>
      </c>
      <c r="G1" t="s">
        <v>7</v>
      </c>
      <c r="H1" s="3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t="s">
        <v>33</v>
      </c>
      <c r="AH1" t="s">
        <v>34</v>
      </c>
      <c r="AI1" t="s">
        <v>35</v>
      </c>
      <c r="AJ1" s="1" t="s">
        <v>36</v>
      </c>
      <c r="AK1" s="1" t="s">
        <v>37</v>
      </c>
      <c r="AL1" s="1" t="s">
        <v>38</v>
      </c>
      <c r="AM1" t="s">
        <v>39</v>
      </c>
      <c r="AN1" s="1" t="s">
        <v>40</v>
      </c>
      <c r="AO1" t="s">
        <v>41</v>
      </c>
      <c r="AP1" t="s">
        <v>42</v>
      </c>
      <c r="AQ1" t="s">
        <v>43</v>
      </c>
      <c r="AR1" s="1" t="s">
        <v>44</v>
      </c>
      <c r="AS1" s="1" t="s">
        <v>416</v>
      </c>
      <c r="AT1" s="1" t="s">
        <v>417</v>
      </c>
      <c r="AU1" s="1" t="s">
        <v>418</v>
      </c>
      <c r="AV1" t="s">
        <v>50</v>
      </c>
      <c r="AW1" t="s">
        <v>51</v>
      </c>
    </row>
    <row r="2" spans="1:49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416</v>
      </c>
      <c r="AT2" s="2" t="s">
        <v>417</v>
      </c>
      <c r="AU2" s="2" t="s">
        <v>418</v>
      </c>
      <c r="AV2" s="2" t="s">
        <v>50</v>
      </c>
      <c r="AW2" s="2" t="s">
        <v>51</v>
      </c>
    </row>
    <row r="3" spans="1:49" x14ac:dyDescent="0.25">
      <c r="B3" s="1" t="s">
        <v>54</v>
      </c>
      <c r="C3" s="1" t="s">
        <v>419</v>
      </c>
      <c r="D3" s="1" t="s">
        <v>420</v>
      </c>
      <c r="E3" s="1" t="s">
        <v>54</v>
      </c>
      <c r="F3" t="s">
        <v>121</v>
      </c>
      <c r="G3" t="s">
        <v>421</v>
      </c>
      <c r="H3" s="3" t="s">
        <v>58</v>
      </c>
      <c r="I3" s="1" t="s">
        <v>54</v>
      </c>
      <c r="J3" s="1" t="s">
        <v>59</v>
      </c>
      <c r="K3" s="1" t="s">
        <v>60</v>
      </c>
      <c r="L3" s="1" t="s">
        <v>126</v>
      </c>
      <c r="Q3" s="1" t="s">
        <v>276</v>
      </c>
      <c r="S3" s="1" t="s">
        <v>63</v>
      </c>
      <c r="T3" s="1" t="s">
        <v>63</v>
      </c>
      <c r="U3" s="1" t="s">
        <v>59</v>
      </c>
      <c r="V3" s="1" t="s">
        <v>423</v>
      </c>
      <c r="Y3" s="1" t="s">
        <v>424</v>
      </c>
      <c r="Z3" s="1" t="str">
        <f>REPLACE(Y3, 13, 0, " DN" &amp; E3)</f>
        <v>Elbow 45 deg DN15 SW CL3000 CS ASTM A105N Dims to ASME B16.11</v>
      </c>
      <c r="AA3" s="1" t="s">
        <v>66</v>
      </c>
      <c r="AG3" t="s">
        <v>425</v>
      </c>
      <c r="AM3" t="s">
        <v>68</v>
      </c>
      <c r="AO3" t="s">
        <v>281</v>
      </c>
      <c r="AV3" t="s">
        <v>426</v>
      </c>
    </row>
    <row r="4" spans="1:49" x14ac:dyDescent="0.25">
      <c r="B4" s="1" t="s">
        <v>71</v>
      </c>
      <c r="C4" s="1" t="s">
        <v>419</v>
      </c>
      <c r="D4" s="1" t="s">
        <v>420</v>
      </c>
      <c r="E4" s="1" t="s">
        <v>71</v>
      </c>
      <c r="F4" t="s">
        <v>121</v>
      </c>
      <c r="G4" t="s">
        <v>427</v>
      </c>
      <c r="H4" s="3" t="s">
        <v>58</v>
      </c>
      <c r="I4" s="1" t="s">
        <v>71</v>
      </c>
      <c r="J4" s="1" t="s">
        <v>59</v>
      </c>
      <c r="K4" s="1" t="s">
        <v>73</v>
      </c>
      <c r="L4" s="1" t="s">
        <v>126</v>
      </c>
      <c r="Q4" s="1" t="s">
        <v>276</v>
      </c>
      <c r="S4" s="1" t="s">
        <v>63</v>
      </c>
      <c r="T4" s="1" t="s">
        <v>63</v>
      </c>
      <c r="U4" s="1" t="s">
        <v>59</v>
      </c>
      <c r="V4" s="1" t="s">
        <v>423</v>
      </c>
      <c r="Y4" s="1" t="s">
        <v>424</v>
      </c>
      <c r="Z4" s="1" t="str">
        <f t="shared" ref="Z4:Z20" si="0">REPLACE(Y4, 13, 0, " DN" &amp; E4)</f>
        <v>Elbow 45 deg DN20 SW CL3000 CS ASTM A105N Dims to ASME B16.11</v>
      </c>
      <c r="AA4" s="1" t="s">
        <v>66</v>
      </c>
      <c r="AG4" t="s">
        <v>425</v>
      </c>
      <c r="AM4" t="s">
        <v>68</v>
      </c>
      <c r="AO4" t="s">
        <v>281</v>
      </c>
      <c r="AV4" t="s">
        <v>426</v>
      </c>
    </row>
    <row r="5" spans="1:49" x14ac:dyDescent="0.25">
      <c r="B5" s="1" t="s">
        <v>74</v>
      </c>
      <c r="C5" s="1" t="s">
        <v>419</v>
      </c>
      <c r="D5" s="1" t="s">
        <v>420</v>
      </c>
      <c r="E5" s="1" t="s">
        <v>74</v>
      </c>
      <c r="F5" t="s">
        <v>121</v>
      </c>
      <c r="G5" t="s">
        <v>428</v>
      </c>
      <c r="H5" s="3" t="s">
        <v>58</v>
      </c>
      <c r="I5" s="1" t="s">
        <v>74</v>
      </c>
      <c r="J5" s="1" t="s">
        <v>59</v>
      </c>
      <c r="K5" s="1" t="s">
        <v>76</v>
      </c>
      <c r="L5" s="1" t="s">
        <v>126</v>
      </c>
      <c r="Q5" s="1" t="s">
        <v>276</v>
      </c>
      <c r="S5" s="1" t="s">
        <v>63</v>
      </c>
      <c r="T5" s="1" t="s">
        <v>63</v>
      </c>
      <c r="U5" s="1" t="s">
        <v>59</v>
      </c>
      <c r="V5" s="1" t="s">
        <v>423</v>
      </c>
      <c r="Y5" s="1" t="s">
        <v>424</v>
      </c>
      <c r="Z5" s="1" t="str">
        <f t="shared" si="0"/>
        <v>Elbow 45 deg DN25 SW CL3000 CS ASTM A105N Dims to ASME B16.11</v>
      </c>
      <c r="AA5" s="1" t="s">
        <v>66</v>
      </c>
      <c r="AG5" t="s">
        <v>425</v>
      </c>
      <c r="AM5" t="s">
        <v>68</v>
      </c>
      <c r="AO5" t="s">
        <v>281</v>
      </c>
      <c r="AV5" t="s">
        <v>426</v>
      </c>
    </row>
    <row r="6" spans="1:49" x14ac:dyDescent="0.25">
      <c r="B6" s="1" t="s">
        <v>77</v>
      </c>
      <c r="C6" s="1" t="s">
        <v>419</v>
      </c>
      <c r="D6" s="1" t="s">
        <v>420</v>
      </c>
      <c r="E6" s="1" t="s">
        <v>77</v>
      </c>
      <c r="F6" t="s">
        <v>121</v>
      </c>
      <c r="G6" t="s">
        <v>429</v>
      </c>
      <c r="H6" s="3" t="s">
        <v>58</v>
      </c>
      <c r="I6" s="1" t="s">
        <v>77</v>
      </c>
      <c r="J6" s="1" t="s">
        <v>59</v>
      </c>
      <c r="K6" s="1" t="s">
        <v>79</v>
      </c>
      <c r="L6" s="1" t="s">
        <v>126</v>
      </c>
      <c r="Q6" s="1" t="s">
        <v>276</v>
      </c>
      <c r="S6" s="1" t="s">
        <v>63</v>
      </c>
      <c r="T6" s="1" t="s">
        <v>63</v>
      </c>
      <c r="U6" s="1" t="s">
        <v>59</v>
      </c>
      <c r="V6" s="1" t="s">
        <v>423</v>
      </c>
      <c r="Y6" s="1" t="s">
        <v>424</v>
      </c>
      <c r="Z6" s="1" t="str">
        <f t="shared" si="0"/>
        <v>Elbow 45 deg DN32 SW CL3000 CS ASTM A105N Dims to ASME B16.11</v>
      </c>
      <c r="AA6" s="1" t="s">
        <v>66</v>
      </c>
      <c r="AG6" t="s">
        <v>425</v>
      </c>
      <c r="AM6" t="s">
        <v>68</v>
      </c>
      <c r="AO6" t="s">
        <v>281</v>
      </c>
      <c r="AV6" t="s">
        <v>426</v>
      </c>
    </row>
    <row r="7" spans="1:49" x14ac:dyDescent="0.25">
      <c r="B7" s="1" t="s">
        <v>62</v>
      </c>
      <c r="C7" s="1" t="s">
        <v>419</v>
      </c>
      <c r="D7" s="1" t="s">
        <v>420</v>
      </c>
      <c r="E7" s="1" t="s">
        <v>62</v>
      </c>
      <c r="F7" t="s">
        <v>121</v>
      </c>
      <c r="G7" t="s">
        <v>430</v>
      </c>
      <c r="H7" s="3" t="s">
        <v>58</v>
      </c>
      <c r="I7" s="1" t="s">
        <v>62</v>
      </c>
      <c r="J7" s="1" t="s">
        <v>59</v>
      </c>
      <c r="K7" s="1" t="s">
        <v>82</v>
      </c>
      <c r="L7" s="1" t="s">
        <v>126</v>
      </c>
      <c r="Q7" s="1" t="s">
        <v>276</v>
      </c>
      <c r="S7" s="1" t="s">
        <v>63</v>
      </c>
      <c r="T7" s="1" t="s">
        <v>63</v>
      </c>
      <c r="U7" s="1" t="s">
        <v>59</v>
      </c>
      <c r="V7" s="1" t="s">
        <v>423</v>
      </c>
      <c r="Y7" s="1" t="s">
        <v>424</v>
      </c>
      <c r="Z7" s="1" t="str">
        <f t="shared" si="0"/>
        <v>Elbow 45 deg DN40 SW CL3000 CS ASTM A105N Dims to ASME B16.11</v>
      </c>
      <c r="AA7" s="1" t="s">
        <v>66</v>
      </c>
      <c r="AG7" t="s">
        <v>425</v>
      </c>
      <c r="AM7" t="s">
        <v>68</v>
      </c>
      <c r="AO7" t="s">
        <v>281</v>
      </c>
      <c r="AV7" t="s">
        <v>426</v>
      </c>
    </row>
    <row r="8" spans="1:49" x14ac:dyDescent="0.25">
      <c r="B8" s="1" t="s">
        <v>83</v>
      </c>
      <c r="C8" s="1" t="s">
        <v>419</v>
      </c>
      <c r="D8" s="1" t="s">
        <v>420</v>
      </c>
      <c r="E8" s="1" t="s">
        <v>83</v>
      </c>
      <c r="F8" t="s">
        <v>121</v>
      </c>
      <c r="G8" t="s">
        <v>431</v>
      </c>
      <c r="H8" s="3" t="s">
        <v>58</v>
      </c>
      <c r="I8" s="1" t="s">
        <v>83</v>
      </c>
      <c r="J8" s="1" t="s">
        <v>59</v>
      </c>
      <c r="K8" s="1" t="s">
        <v>85</v>
      </c>
      <c r="L8" s="1" t="s">
        <v>126</v>
      </c>
      <c r="Q8" s="1" t="s">
        <v>276</v>
      </c>
      <c r="S8" s="1" t="s">
        <v>63</v>
      </c>
      <c r="T8" s="1" t="s">
        <v>63</v>
      </c>
      <c r="U8" s="1" t="s">
        <v>59</v>
      </c>
      <c r="V8" s="1" t="s">
        <v>423</v>
      </c>
      <c r="Y8" s="1" t="s">
        <v>424</v>
      </c>
      <c r="Z8" s="1" t="str">
        <f t="shared" si="0"/>
        <v>Elbow 45 deg DN50 SW CL3000 CS ASTM A105N Dims to ASME B16.11</v>
      </c>
      <c r="AA8" s="1" t="s">
        <v>66</v>
      </c>
      <c r="AG8" t="s">
        <v>425</v>
      </c>
      <c r="AM8" t="s">
        <v>68</v>
      </c>
      <c r="AO8" t="s">
        <v>281</v>
      </c>
      <c r="AV8" t="s">
        <v>426</v>
      </c>
    </row>
    <row r="9" spans="1:49" x14ac:dyDescent="0.25">
      <c r="B9" s="1" t="s">
        <v>86</v>
      </c>
      <c r="C9" s="1" t="s">
        <v>419</v>
      </c>
      <c r="D9" s="1" t="s">
        <v>420</v>
      </c>
      <c r="E9" s="1" t="s">
        <v>86</v>
      </c>
      <c r="F9" t="s">
        <v>121</v>
      </c>
      <c r="G9" t="s">
        <v>432</v>
      </c>
      <c r="H9" s="3" t="s">
        <v>58</v>
      </c>
      <c r="I9" s="1" t="s">
        <v>86</v>
      </c>
      <c r="J9" s="1" t="s">
        <v>59</v>
      </c>
      <c r="K9" s="1" t="s">
        <v>88</v>
      </c>
      <c r="L9" s="1" t="s">
        <v>126</v>
      </c>
      <c r="Q9" s="1" t="s">
        <v>276</v>
      </c>
      <c r="S9" s="1" t="s">
        <v>63</v>
      </c>
      <c r="T9" s="1" t="s">
        <v>63</v>
      </c>
      <c r="U9" s="1" t="s">
        <v>59</v>
      </c>
      <c r="V9" s="1" t="s">
        <v>423</v>
      </c>
      <c r="Y9" s="1" t="s">
        <v>424</v>
      </c>
      <c r="Z9" s="1" t="str">
        <f t="shared" si="0"/>
        <v>Elbow 45 deg DN65 SW CL3000 CS ASTM A105N Dims to ASME B16.11</v>
      </c>
      <c r="AA9" s="1" t="s">
        <v>66</v>
      </c>
      <c r="AG9" t="s">
        <v>425</v>
      </c>
      <c r="AM9" t="s">
        <v>68</v>
      </c>
      <c r="AO9" t="s">
        <v>281</v>
      </c>
      <c r="AV9" t="s">
        <v>426</v>
      </c>
    </row>
    <row r="10" spans="1:49" x14ac:dyDescent="0.25">
      <c r="B10" s="1" t="s">
        <v>89</v>
      </c>
      <c r="C10" s="1" t="s">
        <v>419</v>
      </c>
      <c r="D10" s="1" t="s">
        <v>420</v>
      </c>
      <c r="E10" s="1" t="s">
        <v>89</v>
      </c>
      <c r="F10" t="s">
        <v>121</v>
      </c>
      <c r="G10" t="s">
        <v>433</v>
      </c>
      <c r="H10" s="3" t="s">
        <v>58</v>
      </c>
      <c r="I10" s="1" t="s">
        <v>89</v>
      </c>
      <c r="J10" s="1" t="s">
        <v>59</v>
      </c>
      <c r="K10" s="1" t="s">
        <v>91</v>
      </c>
      <c r="L10" s="1" t="s">
        <v>126</v>
      </c>
      <c r="Q10" s="1" t="s">
        <v>276</v>
      </c>
      <c r="S10" s="1" t="s">
        <v>63</v>
      </c>
      <c r="T10" s="1" t="s">
        <v>63</v>
      </c>
      <c r="U10" s="1" t="s">
        <v>59</v>
      </c>
      <c r="V10" s="1" t="s">
        <v>423</v>
      </c>
      <c r="Y10" s="1" t="s">
        <v>424</v>
      </c>
      <c r="Z10" s="1" t="str">
        <f t="shared" si="0"/>
        <v>Elbow 45 deg DN80 SW CL3000 CS ASTM A105N Dims to ASME B16.11</v>
      </c>
      <c r="AA10" s="1" t="s">
        <v>66</v>
      </c>
      <c r="AG10" t="s">
        <v>425</v>
      </c>
      <c r="AM10" t="s">
        <v>68</v>
      </c>
      <c r="AO10" t="s">
        <v>281</v>
      </c>
      <c r="AV10" t="s">
        <v>426</v>
      </c>
    </row>
    <row r="11" spans="1:49" x14ac:dyDescent="0.25">
      <c r="B11" s="1" t="s">
        <v>92</v>
      </c>
      <c r="C11" s="1" t="s">
        <v>419</v>
      </c>
      <c r="D11" s="1" t="s">
        <v>420</v>
      </c>
      <c r="E11" s="1" t="s">
        <v>92</v>
      </c>
      <c r="F11" t="s">
        <v>121</v>
      </c>
      <c r="G11" t="s">
        <v>434</v>
      </c>
      <c r="H11" s="3" t="s">
        <v>58</v>
      </c>
      <c r="I11" s="1" t="s">
        <v>92</v>
      </c>
      <c r="J11" s="1" t="s">
        <v>59</v>
      </c>
      <c r="K11" s="1" t="s">
        <v>92</v>
      </c>
      <c r="L11" s="1" t="s">
        <v>126</v>
      </c>
      <c r="Q11" s="1" t="s">
        <v>276</v>
      </c>
      <c r="S11" s="1" t="s">
        <v>63</v>
      </c>
      <c r="T11" s="1" t="s">
        <v>63</v>
      </c>
      <c r="U11" s="1" t="s">
        <v>59</v>
      </c>
      <c r="V11" s="1" t="s">
        <v>423</v>
      </c>
      <c r="Y11" s="1" t="s">
        <v>424</v>
      </c>
      <c r="Z11" s="1" t="str">
        <f t="shared" si="0"/>
        <v>Elbow 45 deg DN90 SW CL3000 CS ASTM A105N Dims to ASME B16.11</v>
      </c>
      <c r="AA11" s="1" t="s">
        <v>66</v>
      </c>
      <c r="AG11" t="s">
        <v>425</v>
      </c>
      <c r="AM11" t="s">
        <v>68</v>
      </c>
      <c r="AO11" t="s">
        <v>281</v>
      </c>
      <c r="AV11" t="s">
        <v>426</v>
      </c>
    </row>
    <row r="12" spans="1:49" x14ac:dyDescent="0.25">
      <c r="B12" s="1" t="s">
        <v>94</v>
      </c>
      <c r="C12" s="1" t="s">
        <v>419</v>
      </c>
      <c r="D12" s="1" t="s">
        <v>420</v>
      </c>
      <c r="E12" s="1" t="s">
        <v>94</v>
      </c>
      <c r="F12" t="s">
        <v>121</v>
      </c>
      <c r="G12" t="s">
        <v>435</v>
      </c>
      <c r="H12" s="3" t="s">
        <v>58</v>
      </c>
      <c r="I12" s="1" t="s">
        <v>94</v>
      </c>
      <c r="J12" s="1" t="s">
        <v>59</v>
      </c>
      <c r="K12" s="1" t="s">
        <v>96</v>
      </c>
      <c r="L12" s="1" t="s">
        <v>126</v>
      </c>
      <c r="Q12" s="1" t="s">
        <v>276</v>
      </c>
      <c r="S12" s="1" t="s">
        <v>63</v>
      </c>
      <c r="T12" s="1" t="s">
        <v>63</v>
      </c>
      <c r="U12" s="1" t="s">
        <v>59</v>
      </c>
      <c r="V12" s="1" t="s">
        <v>423</v>
      </c>
      <c r="Y12" s="1" t="s">
        <v>424</v>
      </c>
      <c r="Z12" s="1" t="str">
        <f t="shared" si="0"/>
        <v>Elbow 45 deg DN100 SW CL3000 CS ASTM A105N Dims to ASME B16.11</v>
      </c>
      <c r="AA12" s="1" t="s">
        <v>66</v>
      </c>
      <c r="AG12" t="s">
        <v>425</v>
      </c>
      <c r="AM12" t="s">
        <v>68</v>
      </c>
      <c r="AO12" t="s">
        <v>281</v>
      </c>
      <c r="AV12" t="s">
        <v>426</v>
      </c>
    </row>
    <row r="13" spans="1:49" x14ac:dyDescent="0.25">
      <c r="B13" s="1" t="s">
        <v>97</v>
      </c>
      <c r="C13" s="1" t="s">
        <v>419</v>
      </c>
      <c r="D13" s="1" t="s">
        <v>420</v>
      </c>
      <c r="E13" s="1" t="s">
        <v>97</v>
      </c>
      <c r="F13" t="s">
        <v>121</v>
      </c>
      <c r="G13" t="s">
        <v>436</v>
      </c>
      <c r="H13" s="3" t="s">
        <v>58</v>
      </c>
      <c r="I13" s="1" t="s">
        <v>97</v>
      </c>
      <c r="J13" s="1" t="s">
        <v>59</v>
      </c>
      <c r="K13" s="1" t="s">
        <v>97</v>
      </c>
      <c r="L13" s="1" t="s">
        <v>126</v>
      </c>
      <c r="Q13" s="1" t="s">
        <v>276</v>
      </c>
      <c r="S13" s="1" t="s">
        <v>63</v>
      </c>
      <c r="T13" s="1" t="s">
        <v>63</v>
      </c>
      <c r="U13" s="1" t="s">
        <v>59</v>
      </c>
      <c r="V13" s="1" t="s">
        <v>423</v>
      </c>
      <c r="Y13" s="1" t="s">
        <v>424</v>
      </c>
      <c r="Z13" s="1" t="str">
        <f t="shared" si="0"/>
        <v>Elbow 45 deg DN125 SW CL3000 CS ASTM A105N Dims to ASME B16.11</v>
      </c>
      <c r="AA13" s="1" t="s">
        <v>66</v>
      </c>
      <c r="AG13" t="s">
        <v>425</v>
      </c>
      <c r="AM13" t="s">
        <v>68</v>
      </c>
      <c r="AO13" t="s">
        <v>281</v>
      </c>
      <c r="AV13" t="s">
        <v>426</v>
      </c>
    </row>
    <row r="14" spans="1:49" x14ac:dyDescent="0.25">
      <c r="B14" s="1" t="s">
        <v>99</v>
      </c>
      <c r="C14" s="1" t="s">
        <v>419</v>
      </c>
      <c r="D14" s="1" t="s">
        <v>420</v>
      </c>
      <c r="E14" s="1" t="s">
        <v>99</v>
      </c>
      <c r="F14" t="s">
        <v>121</v>
      </c>
      <c r="G14" t="s">
        <v>437</v>
      </c>
      <c r="H14" s="3" t="s">
        <v>58</v>
      </c>
      <c r="I14" s="1" t="s">
        <v>99</v>
      </c>
      <c r="J14" s="1" t="s">
        <v>59</v>
      </c>
      <c r="K14" s="1" t="s">
        <v>101</v>
      </c>
      <c r="L14" s="1" t="s">
        <v>126</v>
      </c>
      <c r="Q14" s="1" t="s">
        <v>276</v>
      </c>
      <c r="S14" s="1" t="s">
        <v>63</v>
      </c>
      <c r="T14" s="1" t="s">
        <v>63</v>
      </c>
      <c r="U14" s="1" t="s">
        <v>59</v>
      </c>
      <c r="V14" s="1" t="s">
        <v>423</v>
      </c>
      <c r="Y14" s="1" t="s">
        <v>424</v>
      </c>
      <c r="Z14" s="1" t="str">
        <f t="shared" si="0"/>
        <v>Elbow 45 deg DN150 SW CL3000 CS ASTM A105N Dims to ASME B16.11</v>
      </c>
      <c r="AA14" s="1" t="s">
        <v>66</v>
      </c>
      <c r="AG14" t="s">
        <v>425</v>
      </c>
      <c r="AM14" t="s">
        <v>68</v>
      </c>
      <c r="AO14" t="s">
        <v>281</v>
      </c>
      <c r="AV14" t="s">
        <v>426</v>
      </c>
    </row>
    <row r="15" spans="1:49" x14ac:dyDescent="0.25">
      <c r="B15" s="1" t="s">
        <v>102</v>
      </c>
      <c r="C15" s="1" t="s">
        <v>419</v>
      </c>
      <c r="D15" s="1" t="s">
        <v>420</v>
      </c>
      <c r="E15" s="1" t="s">
        <v>102</v>
      </c>
      <c r="F15" t="s">
        <v>121</v>
      </c>
      <c r="G15" t="s">
        <v>438</v>
      </c>
      <c r="H15" s="3" t="s">
        <v>58</v>
      </c>
      <c r="I15" s="1" t="s">
        <v>102</v>
      </c>
      <c r="J15" s="1" t="s">
        <v>59</v>
      </c>
      <c r="K15" s="1" t="s">
        <v>104</v>
      </c>
      <c r="L15" s="1" t="s">
        <v>126</v>
      </c>
      <c r="Q15" s="1" t="s">
        <v>276</v>
      </c>
      <c r="S15" s="1" t="s">
        <v>63</v>
      </c>
      <c r="T15" s="1" t="s">
        <v>63</v>
      </c>
      <c r="U15" s="1" t="s">
        <v>59</v>
      </c>
      <c r="V15" s="1" t="s">
        <v>423</v>
      </c>
      <c r="Y15" s="1" t="s">
        <v>424</v>
      </c>
      <c r="Z15" s="1" t="str">
        <f t="shared" si="0"/>
        <v>Elbow 45 deg DN200 SW CL3000 CS ASTM A105N Dims to ASME B16.11</v>
      </c>
      <c r="AA15" s="1" t="s">
        <v>66</v>
      </c>
      <c r="AG15" t="s">
        <v>425</v>
      </c>
      <c r="AM15" t="s">
        <v>68</v>
      </c>
      <c r="AO15" t="s">
        <v>281</v>
      </c>
      <c r="AV15" t="s">
        <v>426</v>
      </c>
    </row>
    <row r="16" spans="1:49" x14ac:dyDescent="0.25">
      <c r="B16" s="1" t="s">
        <v>105</v>
      </c>
      <c r="C16" s="1" t="s">
        <v>419</v>
      </c>
      <c r="D16" s="1" t="s">
        <v>420</v>
      </c>
      <c r="E16" s="1" t="s">
        <v>105</v>
      </c>
      <c r="F16" t="s">
        <v>121</v>
      </c>
      <c r="G16" t="s">
        <v>439</v>
      </c>
      <c r="H16" s="3" t="s">
        <v>58</v>
      </c>
      <c r="I16" s="1" t="s">
        <v>105</v>
      </c>
      <c r="J16" s="1" t="s">
        <v>59</v>
      </c>
      <c r="K16" s="1" t="s">
        <v>107</v>
      </c>
      <c r="L16" s="1" t="s">
        <v>126</v>
      </c>
      <c r="Q16" s="1" t="s">
        <v>276</v>
      </c>
      <c r="S16" s="1" t="s">
        <v>63</v>
      </c>
      <c r="T16" s="1" t="s">
        <v>63</v>
      </c>
      <c r="U16" s="1" t="s">
        <v>59</v>
      </c>
      <c r="V16" s="1" t="s">
        <v>423</v>
      </c>
      <c r="Y16" s="1" t="s">
        <v>424</v>
      </c>
      <c r="Z16" s="1" t="str">
        <f t="shared" si="0"/>
        <v>Elbow 45 deg DN250 SW CL3000 CS ASTM A105N Dims to ASME B16.11</v>
      </c>
      <c r="AA16" s="1" t="s">
        <v>66</v>
      </c>
      <c r="AG16" t="s">
        <v>425</v>
      </c>
      <c r="AM16" t="s">
        <v>68</v>
      </c>
      <c r="AO16" t="s">
        <v>281</v>
      </c>
      <c r="AV16" t="s">
        <v>426</v>
      </c>
    </row>
    <row r="17" spans="2:48" x14ac:dyDescent="0.25">
      <c r="B17" s="1" t="s">
        <v>108</v>
      </c>
      <c r="C17" s="1" t="s">
        <v>419</v>
      </c>
      <c r="D17" s="1" t="s">
        <v>420</v>
      </c>
      <c r="E17" s="1" t="s">
        <v>108</v>
      </c>
      <c r="F17" t="s">
        <v>121</v>
      </c>
      <c r="G17" t="s">
        <v>440</v>
      </c>
      <c r="H17" s="3" t="s">
        <v>58</v>
      </c>
      <c r="I17" s="1" t="s">
        <v>108</v>
      </c>
      <c r="J17" s="1" t="s">
        <v>59</v>
      </c>
      <c r="K17" s="1" t="s">
        <v>110</v>
      </c>
      <c r="L17" s="1" t="s">
        <v>126</v>
      </c>
      <c r="Q17" s="1" t="s">
        <v>276</v>
      </c>
      <c r="S17" s="1" t="s">
        <v>63</v>
      </c>
      <c r="T17" s="1" t="s">
        <v>63</v>
      </c>
      <c r="U17" s="1" t="s">
        <v>59</v>
      </c>
      <c r="V17" s="1" t="s">
        <v>423</v>
      </c>
      <c r="Y17" s="1" t="s">
        <v>424</v>
      </c>
      <c r="Z17" s="1" t="str">
        <f t="shared" si="0"/>
        <v>Elbow 45 deg DN300 SW CL3000 CS ASTM A105N Dims to ASME B16.11</v>
      </c>
      <c r="AA17" s="1" t="s">
        <v>66</v>
      </c>
      <c r="AG17" t="s">
        <v>425</v>
      </c>
      <c r="AM17" t="s">
        <v>68</v>
      </c>
      <c r="AO17" t="s">
        <v>281</v>
      </c>
      <c r="AV17" t="s">
        <v>426</v>
      </c>
    </row>
    <row r="18" spans="2:48" x14ac:dyDescent="0.25">
      <c r="B18" s="1" t="s">
        <v>111</v>
      </c>
      <c r="C18" s="1" t="s">
        <v>419</v>
      </c>
      <c r="D18" s="1" t="s">
        <v>420</v>
      </c>
      <c r="E18" s="1" t="s">
        <v>111</v>
      </c>
      <c r="F18" t="s">
        <v>121</v>
      </c>
      <c r="G18" t="s">
        <v>441</v>
      </c>
      <c r="H18" s="3" t="s">
        <v>58</v>
      </c>
      <c r="I18" s="1" t="s">
        <v>111</v>
      </c>
      <c r="J18" s="1" t="s">
        <v>59</v>
      </c>
      <c r="K18" s="1" t="s">
        <v>113</v>
      </c>
      <c r="L18" s="1" t="s">
        <v>126</v>
      </c>
      <c r="Q18" s="1" t="s">
        <v>276</v>
      </c>
      <c r="S18" s="1" t="s">
        <v>63</v>
      </c>
      <c r="T18" s="1" t="s">
        <v>63</v>
      </c>
      <c r="U18" s="1" t="s">
        <v>59</v>
      </c>
      <c r="V18" s="1" t="s">
        <v>423</v>
      </c>
      <c r="Y18" s="1" t="s">
        <v>424</v>
      </c>
      <c r="Z18" s="1" t="str">
        <f t="shared" si="0"/>
        <v>Elbow 45 deg DN350 SW CL3000 CS ASTM A105N Dims to ASME B16.11</v>
      </c>
      <c r="AA18" s="1" t="s">
        <v>66</v>
      </c>
      <c r="AG18" t="s">
        <v>425</v>
      </c>
      <c r="AM18" t="s">
        <v>68</v>
      </c>
      <c r="AO18" t="s">
        <v>281</v>
      </c>
      <c r="AV18" t="s">
        <v>426</v>
      </c>
    </row>
    <row r="19" spans="2:48" x14ac:dyDescent="0.25">
      <c r="B19" s="1" t="s">
        <v>114</v>
      </c>
      <c r="C19" s="1" t="s">
        <v>419</v>
      </c>
      <c r="D19" s="1" t="s">
        <v>420</v>
      </c>
      <c r="E19" s="1" t="s">
        <v>114</v>
      </c>
      <c r="F19" t="s">
        <v>121</v>
      </c>
      <c r="G19" t="s">
        <v>442</v>
      </c>
      <c r="H19" s="3" t="s">
        <v>58</v>
      </c>
      <c r="I19" s="1" t="s">
        <v>114</v>
      </c>
      <c r="J19" s="1" t="s">
        <v>59</v>
      </c>
      <c r="K19" s="1" t="s">
        <v>116</v>
      </c>
      <c r="L19" s="1" t="s">
        <v>126</v>
      </c>
      <c r="Q19" s="1" t="s">
        <v>276</v>
      </c>
      <c r="S19" s="1" t="s">
        <v>63</v>
      </c>
      <c r="T19" s="1" t="s">
        <v>63</v>
      </c>
      <c r="U19" s="1" t="s">
        <v>59</v>
      </c>
      <c r="V19" s="1" t="s">
        <v>423</v>
      </c>
      <c r="Y19" s="1" t="s">
        <v>424</v>
      </c>
      <c r="Z19" s="1" t="str">
        <f t="shared" si="0"/>
        <v>Elbow 45 deg DN400 SW CL3000 CS ASTM A105N Dims to ASME B16.11</v>
      </c>
      <c r="AA19" s="1" t="s">
        <v>66</v>
      </c>
      <c r="AG19" t="s">
        <v>425</v>
      </c>
      <c r="AM19" t="s">
        <v>68</v>
      </c>
      <c r="AO19" t="s">
        <v>281</v>
      </c>
      <c r="AV19" t="s">
        <v>426</v>
      </c>
    </row>
    <row r="20" spans="2:48" x14ac:dyDescent="0.25">
      <c r="B20" s="1" t="s">
        <v>117</v>
      </c>
      <c r="C20" s="1" t="s">
        <v>419</v>
      </c>
      <c r="D20" s="1" t="s">
        <v>420</v>
      </c>
      <c r="E20" s="1" t="s">
        <v>117</v>
      </c>
      <c r="F20" t="s">
        <v>121</v>
      </c>
      <c r="G20" t="s">
        <v>443</v>
      </c>
      <c r="H20" s="3" t="s">
        <v>58</v>
      </c>
      <c r="I20" s="1" t="s">
        <v>117</v>
      </c>
      <c r="J20" s="1" t="s">
        <v>59</v>
      </c>
      <c r="K20" s="1" t="s">
        <v>119</v>
      </c>
      <c r="L20" s="1" t="s">
        <v>126</v>
      </c>
      <c r="Q20" s="1" t="s">
        <v>276</v>
      </c>
      <c r="S20" s="1" t="s">
        <v>63</v>
      </c>
      <c r="T20" s="1" t="s">
        <v>63</v>
      </c>
      <c r="U20" s="1" t="s">
        <v>59</v>
      </c>
      <c r="V20" s="1" t="s">
        <v>423</v>
      </c>
      <c r="Y20" s="1" t="s">
        <v>424</v>
      </c>
      <c r="Z20" s="1" t="str">
        <f t="shared" si="0"/>
        <v>Elbow 45 deg DN450 SW CL3000 CS ASTM A105N Dims to ASME B16.11</v>
      </c>
      <c r="AA20" s="1" t="s">
        <v>66</v>
      </c>
      <c r="AG20" t="s">
        <v>425</v>
      </c>
      <c r="AM20" t="s">
        <v>68</v>
      </c>
      <c r="AO20" t="s">
        <v>281</v>
      </c>
      <c r="AV20" t="s">
        <v>426</v>
      </c>
    </row>
  </sheetData>
  <sheetProtection formatCells="0" formatColumns="0" insertColumns="0" deleteColumns="0"/>
  <dataValidations disablePrompts="1" count="2">
    <dataValidation type="list" allowBlank="1" showInputMessage="1" showErrorMessage="1" sqref="AD3:AD20" xr:uid="{00000000-0002-0000-0A00-000000000000}">
      <formula1>"LB,KG"</formula1>
    </dataValidation>
    <dataValidation type="decimal" allowBlank="1" showInputMessage="1" showErrorMessage="1" sqref="AS3:AU20 AM3:AM20 AI3:AI20 AC3:AC20 S3:T20 P3:P20 K3:K20 I3:I20" xr:uid="{00000000-0002-0000-0A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20"/>
  <sheetViews>
    <sheetView topLeftCell="S2" workbookViewId="0">
      <selection activeCell="Z4" sqref="Z4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9.85546875" style="1" bestFit="1" customWidth="1"/>
    <col min="4" max="4" width="118" style="1" bestFit="1" customWidth="1"/>
    <col min="5" max="5" width="3.7109375" style="1" bestFit="1" customWidth="1"/>
    <col min="6" max="6" width="32.42578125" bestFit="1" customWidth="1"/>
    <col min="7" max="7" width="37.140625" bestFit="1" customWidth="1"/>
    <col min="8" max="8" width="15.85546875" style="1" bestFit="1" customWidth="1"/>
    <col min="9" max="9" width="23" style="1" bestFit="1" customWidth="1"/>
    <col min="10" max="10" width="18.42578125" style="1" bestFit="1" customWidth="1"/>
    <col min="11" max="11" width="22" style="1" bestFit="1" customWidth="1"/>
    <col min="12" max="12" width="14.42578125" style="1" bestFit="1" customWidth="1"/>
    <col min="13" max="13" width="15.5703125" style="1" bestFit="1" customWidth="1"/>
    <col min="14" max="14" width="15.85546875" style="1" bestFit="1" customWidth="1"/>
    <col min="15" max="15" width="12.28515625" style="1" bestFit="1" customWidth="1"/>
    <col min="16" max="16" width="21.5703125" style="1" bestFit="1" customWidth="1"/>
    <col min="17" max="17" width="19.140625" style="1" bestFit="1" customWidth="1"/>
    <col min="18" max="18" width="15" style="1" bestFit="1" customWidth="1"/>
    <col min="19" max="19" width="19.7109375" style="1" bestFit="1" customWidth="1"/>
    <col min="20" max="20" width="24.140625" style="1" bestFit="1" customWidth="1"/>
    <col min="21" max="21" width="16.7109375" style="1" bestFit="1" customWidth="1"/>
    <col min="22" max="22" width="24.140625" style="1" bestFit="1" customWidth="1"/>
    <col min="23" max="23" width="19.42578125" style="1" bestFit="1" customWidth="1"/>
    <col min="24" max="24" width="9.85546875" style="1" bestFit="1" customWidth="1"/>
    <col min="25" max="25" width="64.140625" style="1" bestFit="1" customWidth="1"/>
    <col min="26" max="26" width="69.42578125" style="1" bestFit="1" customWidth="1"/>
    <col min="27" max="27" width="8.5703125" style="1" bestFit="1" customWidth="1"/>
    <col min="28" max="28" width="13.28515625" style="1" bestFit="1" customWidth="1"/>
    <col min="29" max="29" width="7.5703125" style="1" bestFit="1" customWidth="1"/>
    <col min="30" max="30" width="11.42578125" style="1" bestFit="1" customWidth="1"/>
    <col min="31" max="32" width="5.28515625" style="1" bestFit="1" customWidth="1"/>
    <col min="33" max="33" width="36.42578125" bestFit="1" customWidth="1"/>
    <col min="34" max="34" width="19" bestFit="1" customWidth="1"/>
    <col min="35" max="35" width="10" bestFit="1" customWidth="1"/>
    <col min="36" max="36" width="13.28515625" style="1" bestFit="1" customWidth="1"/>
    <col min="37" max="37" width="9.7109375" style="1" bestFit="1" customWidth="1"/>
    <col min="38" max="38" width="20.42578125" style="1" bestFit="1" customWidth="1"/>
    <col min="39" max="39" width="20.42578125" bestFit="1" customWidth="1"/>
    <col min="40" max="40" width="22.42578125" style="1" bestFit="1" customWidth="1"/>
    <col min="41" max="41" width="12.42578125" bestFit="1" customWidth="1"/>
    <col min="42" max="42" width="26.85546875" bestFit="1" customWidth="1"/>
    <col min="43" max="43" width="11.42578125" bestFit="1" customWidth="1"/>
    <col min="44" max="44" width="6.42578125" style="1" bestFit="1" customWidth="1"/>
    <col min="45" max="45" width="10.140625" style="1" bestFit="1" customWidth="1"/>
    <col min="46" max="46" width="12" style="1" bestFit="1" customWidth="1"/>
    <col min="47" max="47" width="14.28515625" style="1" bestFit="1" customWidth="1"/>
    <col min="48" max="48" width="14.28515625" bestFit="1" customWidth="1"/>
    <col min="49" max="49" width="22.7109375" bestFit="1" customWidth="1"/>
    <col min="50" max="50" width="9.140625" customWidth="1"/>
  </cols>
  <sheetData>
    <row r="1" spans="1:49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t="s">
        <v>6</v>
      </c>
      <c r="G1" t="s">
        <v>7</v>
      </c>
      <c r="H1" s="3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t="s">
        <v>33</v>
      </c>
      <c r="AH1" t="s">
        <v>34</v>
      </c>
      <c r="AI1" t="s">
        <v>35</v>
      </c>
      <c r="AJ1" s="1" t="s">
        <v>36</v>
      </c>
      <c r="AK1" s="1" t="s">
        <v>37</v>
      </c>
      <c r="AL1" s="1" t="s">
        <v>38</v>
      </c>
      <c r="AM1" t="s">
        <v>39</v>
      </c>
      <c r="AN1" s="1" t="s">
        <v>40</v>
      </c>
      <c r="AO1" t="s">
        <v>41</v>
      </c>
      <c r="AP1" t="s">
        <v>42</v>
      </c>
      <c r="AQ1" t="s">
        <v>43</v>
      </c>
      <c r="AR1" s="1" t="s">
        <v>44</v>
      </c>
      <c r="AS1" s="1" t="s">
        <v>416</v>
      </c>
      <c r="AT1" s="1" t="s">
        <v>417</v>
      </c>
      <c r="AU1" s="1" t="s">
        <v>418</v>
      </c>
      <c r="AV1" t="s">
        <v>50</v>
      </c>
      <c r="AW1" t="s">
        <v>51</v>
      </c>
    </row>
    <row r="2" spans="1:49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416</v>
      </c>
      <c r="AT2" s="2" t="s">
        <v>417</v>
      </c>
      <c r="AU2" s="2" t="s">
        <v>418</v>
      </c>
      <c r="AV2" s="2" t="s">
        <v>50</v>
      </c>
      <c r="AW2" s="2" t="s">
        <v>51</v>
      </c>
    </row>
    <row r="3" spans="1:49" x14ac:dyDescent="0.25">
      <c r="B3" s="1" t="s">
        <v>54</v>
      </c>
      <c r="C3" s="1" t="s">
        <v>444</v>
      </c>
      <c r="D3" s="1" t="s">
        <v>445</v>
      </c>
      <c r="E3" s="1" t="s">
        <v>54</v>
      </c>
      <c r="F3" t="s">
        <v>121</v>
      </c>
      <c r="G3" t="s">
        <v>446</v>
      </c>
      <c r="H3" s="3" t="s">
        <v>58</v>
      </c>
      <c r="I3" s="1" t="s">
        <v>54</v>
      </c>
      <c r="J3" s="1" t="s">
        <v>59</v>
      </c>
      <c r="K3" s="1" t="s">
        <v>60</v>
      </c>
      <c r="L3" s="1" t="s">
        <v>61</v>
      </c>
      <c r="R3" s="1" t="s">
        <v>62</v>
      </c>
      <c r="S3" s="1" t="s">
        <v>63</v>
      </c>
      <c r="T3" s="1" t="s">
        <v>63</v>
      </c>
      <c r="U3" s="1" t="s">
        <v>59</v>
      </c>
      <c r="V3" s="1" t="s">
        <v>447</v>
      </c>
      <c r="Y3" s="1" t="s">
        <v>448</v>
      </c>
      <c r="Z3" s="1" t="str">
        <f>REPLACE(Y3, 13, 0, " DN" &amp; E3)</f>
        <v>Elbow 45 deg DN15 LR BW. Welded CS ASTM A234-WPB. Dims to ASME B16.9</v>
      </c>
      <c r="AA3" s="1" t="s">
        <v>66</v>
      </c>
      <c r="AG3" t="s">
        <v>449</v>
      </c>
      <c r="AM3" t="s">
        <v>68</v>
      </c>
      <c r="AO3" t="s">
        <v>281</v>
      </c>
      <c r="AV3" t="s">
        <v>426</v>
      </c>
    </row>
    <row r="4" spans="1:49" x14ac:dyDescent="0.25">
      <c r="B4" s="1" t="s">
        <v>71</v>
      </c>
      <c r="C4" s="1" t="s">
        <v>444</v>
      </c>
      <c r="D4" s="1" t="s">
        <v>445</v>
      </c>
      <c r="E4" s="1" t="s">
        <v>71</v>
      </c>
      <c r="F4" t="s">
        <v>121</v>
      </c>
      <c r="G4" t="s">
        <v>450</v>
      </c>
      <c r="H4" s="3" t="s">
        <v>58</v>
      </c>
      <c r="I4" s="1" t="s">
        <v>71</v>
      </c>
      <c r="J4" s="1" t="s">
        <v>59</v>
      </c>
      <c r="K4" s="1" t="s">
        <v>73</v>
      </c>
      <c r="L4" s="1" t="s">
        <v>61</v>
      </c>
      <c r="R4" s="1" t="s">
        <v>62</v>
      </c>
      <c r="S4" s="1" t="s">
        <v>63</v>
      </c>
      <c r="T4" s="1" t="s">
        <v>63</v>
      </c>
      <c r="U4" s="1" t="s">
        <v>59</v>
      </c>
      <c r="V4" s="1" t="s">
        <v>447</v>
      </c>
      <c r="Y4" s="1" t="s">
        <v>448</v>
      </c>
      <c r="Z4" s="1" t="str">
        <f t="shared" ref="Z4:Z20" si="0">REPLACE(Y4, 13, 0, " DN" &amp; E4)</f>
        <v>Elbow 45 deg DN20 LR BW. Welded CS ASTM A234-WPB. Dims to ASME B16.9</v>
      </c>
      <c r="AA4" s="1" t="s">
        <v>66</v>
      </c>
      <c r="AG4" t="s">
        <v>449</v>
      </c>
      <c r="AM4" t="s">
        <v>68</v>
      </c>
      <c r="AO4" t="s">
        <v>281</v>
      </c>
      <c r="AV4" t="s">
        <v>426</v>
      </c>
    </row>
    <row r="5" spans="1:49" x14ac:dyDescent="0.25">
      <c r="B5" s="1" t="s">
        <v>74</v>
      </c>
      <c r="C5" s="1" t="s">
        <v>444</v>
      </c>
      <c r="D5" s="1" t="s">
        <v>445</v>
      </c>
      <c r="E5" s="1" t="s">
        <v>74</v>
      </c>
      <c r="F5" t="s">
        <v>121</v>
      </c>
      <c r="G5" t="s">
        <v>451</v>
      </c>
      <c r="H5" s="3" t="s">
        <v>58</v>
      </c>
      <c r="I5" s="1" t="s">
        <v>74</v>
      </c>
      <c r="J5" s="1" t="s">
        <v>59</v>
      </c>
      <c r="K5" s="1" t="s">
        <v>76</v>
      </c>
      <c r="L5" s="1" t="s">
        <v>61</v>
      </c>
      <c r="R5" s="1" t="s">
        <v>62</v>
      </c>
      <c r="S5" s="1" t="s">
        <v>63</v>
      </c>
      <c r="T5" s="1" t="s">
        <v>63</v>
      </c>
      <c r="U5" s="1" t="s">
        <v>59</v>
      </c>
      <c r="V5" s="1" t="s">
        <v>447</v>
      </c>
      <c r="Y5" s="1" t="s">
        <v>448</v>
      </c>
      <c r="Z5" s="1" t="str">
        <f t="shared" si="0"/>
        <v>Elbow 45 deg DN25 LR BW. Welded CS ASTM A234-WPB. Dims to ASME B16.9</v>
      </c>
      <c r="AA5" s="1" t="s">
        <v>66</v>
      </c>
      <c r="AG5" t="s">
        <v>449</v>
      </c>
      <c r="AM5" t="s">
        <v>68</v>
      </c>
      <c r="AO5" t="s">
        <v>281</v>
      </c>
      <c r="AV5" t="s">
        <v>426</v>
      </c>
    </row>
    <row r="6" spans="1:49" x14ac:dyDescent="0.25">
      <c r="B6" s="1" t="s">
        <v>77</v>
      </c>
      <c r="C6" s="1" t="s">
        <v>444</v>
      </c>
      <c r="D6" s="1" t="s">
        <v>445</v>
      </c>
      <c r="E6" s="1" t="s">
        <v>77</v>
      </c>
      <c r="F6" t="s">
        <v>121</v>
      </c>
      <c r="G6" t="s">
        <v>452</v>
      </c>
      <c r="H6" s="3" t="s">
        <v>58</v>
      </c>
      <c r="I6" s="1" t="s">
        <v>77</v>
      </c>
      <c r="J6" s="1" t="s">
        <v>59</v>
      </c>
      <c r="K6" s="1" t="s">
        <v>79</v>
      </c>
      <c r="L6" s="1" t="s">
        <v>61</v>
      </c>
      <c r="R6" s="1" t="s">
        <v>62</v>
      </c>
      <c r="S6" s="1" t="s">
        <v>63</v>
      </c>
      <c r="T6" s="1" t="s">
        <v>63</v>
      </c>
      <c r="U6" s="1" t="s">
        <v>59</v>
      </c>
      <c r="V6" s="1" t="s">
        <v>447</v>
      </c>
      <c r="Y6" s="1" t="s">
        <v>448</v>
      </c>
      <c r="Z6" s="1" t="str">
        <f t="shared" si="0"/>
        <v>Elbow 45 deg DN32 LR BW. Welded CS ASTM A234-WPB. Dims to ASME B16.9</v>
      </c>
      <c r="AA6" s="1" t="s">
        <v>66</v>
      </c>
      <c r="AG6" t="s">
        <v>449</v>
      </c>
      <c r="AM6" t="s">
        <v>68</v>
      </c>
      <c r="AO6" t="s">
        <v>281</v>
      </c>
      <c r="AV6" t="s">
        <v>426</v>
      </c>
    </row>
    <row r="7" spans="1:49" x14ac:dyDescent="0.25">
      <c r="B7" s="1" t="s">
        <v>62</v>
      </c>
      <c r="C7" s="1" t="s">
        <v>444</v>
      </c>
      <c r="D7" s="1" t="s">
        <v>445</v>
      </c>
      <c r="E7" s="1" t="s">
        <v>62</v>
      </c>
      <c r="F7" t="s">
        <v>121</v>
      </c>
      <c r="G7" t="s">
        <v>453</v>
      </c>
      <c r="H7" s="3" t="s">
        <v>58</v>
      </c>
      <c r="I7" s="1" t="s">
        <v>62</v>
      </c>
      <c r="J7" s="1" t="s">
        <v>59</v>
      </c>
      <c r="K7" s="1" t="s">
        <v>82</v>
      </c>
      <c r="L7" s="1" t="s">
        <v>61</v>
      </c>
      <c r="R7" s="1" t="s">
        <v>62</v>
      </c>
      <c r="S7" s="1" t="s">
        <v>63</v>
      </c>
      <c r="T7" s="1" t="s">
        <v>63</v>
      </c>
      <c r="U7" s="1" t="s">
        <v>59</v>
      </c>
      <c r="V7" s="1" t="s">
        <v>447</v>
      </c>
      <c r="Y7" s="1" t="s">
        <v>448</v>
      </c>
      <c r="Z7" s="1" t="str">
        <f t="shared" si="0"/>
        <v>Elbow 45 deg DN40 LR BW. Welded CS ASTM A234-WPB. Dims to ASME B16.9</v>
      </c>
      <c r="AA7" s="1" t="s">
        <v>66</v>
      </c>
      <c r="AG7" t="s">
        <v>449</v>
      </c>
      <c r="AM7" t="s">
        <v>68</v>
      </c>
      <c r="AO7" t="s">
        <v>281</v>
      </c>
      <c r="AV7" t="s">
        <v>426</v>
      </c>
    </row>
    <row r="8" spans="1:49" x14ac:dyDescent="0.25">
      <c r="B8" s="1" t="s">
        <v>83</v>
      </c>
      <c r="C8" s="1" t="s">
        <v>444</v>
      </c>
      <c r="D8" s="1" t="s">
        <v>445</v>
      </c>
      <c r="E8" s="1" t="s">
        <v>83</v>
      </c>
      <c r="F8" t="s">
        <v>121</v>
      </c>
      <c r="G8" t="s">
        <v>454</v>
      </c>
      <c r="H8" s="3" t="s">
        <v>58</v>
      </c>
      <c r="I8" s="1" t="s">
        <v>83</v>
      </c>
      <c r="J8" s="1" t="s">
        <v>59</v>
      </c>
      <c r="K8" s="1" t="s">
        <v>85</v>
      </c>
      <c r="L8" s="1" t="s">
        <v>61</v>
      </c>
      <c r="R8" s="1" t="s">
        <v>62</v>
      </c>
      <c r="S8" s="1" t="s">
        <v>63</v>
      </c>
      <c r="T8" s="1" t="s">
        <v>63</v>
      </c>
      <c r="U8" s="1" t="s">
        <v>59</v>
      </c>
      <c r="V8" s="1" t="s">
        <v>447</v>
      </c>
      <c r="Y8" s="1" t="s">
        <v>448</v>
      </c>
      <c r="Z8" s="1" t="str">
        <f t="shared" si="0"/>
        <v>Elbow 45 deg DN50 LR BW. Welded CS ASTM A234-WPB. Dims to ASME B16.9</v>
      </c>
      <c r="AA8" s="1" t="s">
        <v>66</v>
      </c>
      <c r="AG8" t="s">
        <v>449</v>
      </c>
      <c r="AM8" t="s">
        <v>68</v>
      </c>
      <c r="AO8" t="s">
        <v>281</v>
      </c>
      <c r="AV8" t="s">
        <v>426</v>
      </c>
    </row>
    <row r="9" spans="1:49" x14ac:dyDescent="0.25">
      <c r="B9" s="1" t="s">
        <v>86</v>
      </c>
      <c r="C9" s="1" t="s">
        <v>444</v>
      </c>
      <c r="D9" s="1" t="s">
        <v>445</v>
      </c>
      <c r="E9" s="1" t="s">
        <v>86</v>
      </c>
      <c r="F9" t="s">
        <v>121</v>
      </c>
      <c r="G9" t="s">
        <v>455</v>
      </c>
      <c r="H9" s="3" t="s">
        <v>58</v>
      </c>
      <c r="I9" s="1" t="s">
        <v>86</v>
      </c>
      <c r="J9" s="1" t="s">
        <v>59</v>
      </c>
      <c r="K9" s="1" t="s">
        <v>88</v>
      </c>
      <c r="L9" s="1" t="s">
        <v>61</v>
      </c>
      <c r="R9" s="1" t="s">
        <v>62</v>
      </c>
      <c r="S9" s="1" t="s">
        <v>63</v>
      </c>
      <c r="T9" s="1" t="s">
        <v>63</v>
      </c>
      <c r="U9" s="1" t="s">
        <v>59</v>
      </c>
      <c r="V9" s="1" t="s">
        <v>447</v>
      </c>
      <c r="Y9" s="1" t="s">
        <v>448</v>
      </c>
      <c r="Z9" s="1" t="str">
        <f t="shared" si="0"/>
        <v>Elbow 45 deg DN65 LR BW. Welded CS ASTM A234-WPB. Dims to ASME B16.9</v>
      </c>
      <c r="AA9" s="1" t="s">
        <v>66</v>
      </c>
      <c r="AG9" t="s">
        <v>449</v>
      </c>
      <c r="AM9" t="s">
        <v>68</v>
      </c>
      <c r="AO9" t="s">
        <v>281</v>
      </c>
      <c r="AV9" t="s">
        <v>426</v>
      </c>
    </row>
    <row r="10" spans="1:49" x14ac:dyDescent="0.25">
      <c r="B10" s="1" t="s">
        <v>89</v>
      </c>
      <c r="C10" s="1" t="s">
        <v>444</v>
      </c>
      <c r="D10" s="1" t="s">
        <v>445</v>
      </c>
      <c r="E10" s="1" t="s">
        <v>89</v>
      </c>
      <c r="F10" t="s">
        <v>121</v>
      </c>
      <c r="G10" t="s">
        <v>456</v>
      </c>
      <c r="H10" s="3" t="s">
        <v>58</v>
      </c>
      <c r="I10" s="1" t="s">
        <v>89</v>
      </c>
      <c r="J10" s="1" t="s">
        <v>59</v>
      </c>
      <c r="K10" s="1" t="s">
        <v>91</v>
      </c>
      <c r="L10" s="1" t="s">
        <v>61</v>
      </c>
      <c r="R10" s="1" t="s">
        <v>62</v>
      </c>
      <c r="S10" s="1" t="s">
        <v>63</v>
      </c>
      <c r="T10" s="1" t="s">
        <v>63</v>
      </c>
      <c r="U10" s="1" t="s">
        <v>59</v>
      </c>
      <c r="V10" s="1" t="s">
        <v>447</v>
      </c>
      <c r="Y10" s="1" t="s">
        <v>448</v>
      </c>
      <c r="Z10" s="1" t="str">
        <f t="shared" si="0"/>
        <v>Elbow 45 deg DN80 LR BW. Welded CS ASTM A234-WPB. Dims to ASME B16.9</v>
      </c>
      <c r="AA10" s="1" t="s">
        <v>66</v>
      </c>
      <c r="AG10" t="s">
        <v>449</v>
      </c>
      <c r="AM10" t="s">
        <v>68</v>
      </c>
      <c r="AO10" t="s">
        <v>281</v>
      </c>
      <c r="AV10" t="s">
        <v>426</v>
      </c>
    </row>
    <row r="11" spans="1:49" x14ac:dyDescent="0.25">
      <c r="B11" s="1" t="s">
        <v>92</v>
      </c>
      <c r="C11" s="1" t="s">
        <v>444</v>
      </c>
      <c r="D11" s="1" t="s">
        <v>445</v>
      </c>
      <c r="E11" s="1" t="s">
        <v>92</v>
      </c>
      <c r="F11" t="s">
        <v>121</v>
      </c>
      <c r="G11" t="s">
        <v>457</v>
      </c>
      <c r="H11" s="3" t="s">
        <v>58</v>
      </c>
      <c r="I11" s="1" t="s">
        <v>92</v>
      </c>
      <c r="J11" s="1" t="s">
        <v>59</v>
      </c>
      <c r="K11" s="1" t="s">
        <v>92</v>
      </c>
      <c r="L11" s="1" t="s">
        <v>61</v>
      </c>
      <c r="R11" s="1" t="s">
        <v>62</v>
      </c>
      <c r="S11" s="1" t="s">
        <v>63</v>
      </c>
      <c r="T11" s="1" t="s">
        <v>63</v>
      </c>
      <c r="U11" s="1" t="s">
        <v>59</v>
      </c>
      <c r="V11" s="1" t="s">
        <v>447</v>
      </c>
      <c r="Y11" s="1" t="s">
        <v>448</v>
      </c>
      <c r="Z11" s="1" t="str">
        <f t="shared" si="0"/>
        <v>Elbow 45 deg DN90 LR BW. Welded CS ASTM A234-WPB. Dims to ASME B16.9</v>
      </c>
      <c r="AA11" s="1" t="s">
        <v>66</v>
      </c>
      <c r="AG11" t="s">
        <v>449</v>
      </c>
      <c r="AM11" t="s">
        <v>68</v>
      </c>
      <c r="AO11" t="s">
        <v>281</v>
      </c>
      <c r="AV11" t="s">
        <v>426</v>
      </c>
    </row>
    <row r="12" spans="1:49" x14ac:dyDescent="0.25">
      <c r="B12" s="1" t="s">
        <v>94</v>
      </c>
      <c r="C12" s="1" t="s">
        <v>444</v>
      </c>
      <c r="D12" s="1" t="s">
        <v>445</v>
      </c>
      <c r="E12" s="1" t="s">
        <v>94</v>
      </c>
      <c r="F12" t="s">
        <v>121</v>
      </c>
      <c r="G12" t="s">
        <v>458</v>
      </c>
      <c r="H12" s="3" t="s">
        <v>58</v>
      </c>
      <c r="I12" s="1" t="s">
        <v>94</v>
      </c>
      <c r="J12" s="1" t="s">
        <v>59</v>
      </c>
      <c r="K12" s="1" t="s">
        <v>96</v>
      </c>
      <c r="L12" s="1" t="s">
        <v>61</v>
      </c>
      <c r="R12" s="1" t="s">
        <v>62</v>
      </c>
      <c r="S12" s="1" t="s">
        <v>63</v>
      </c>
      <c r="T12" s="1" t="s">
        <v>63</v>
      </c>
      <c r="U12" s="1" t="s">
        <v>59</v>
      </c>
      <c r="V12" s="1" t="s">
        <v>447</v>
      </c>
      <c r="Y12" s="1" t="s">
        <v>448</v>
      </c>
      <c r="Z12" s="1" t="str">
        <f t="shared" si="0"/>
        <v>Elbow 45 deg DN100 LR BW. Welded CS ASTM A234-WPB. Dims to ASME B16.9</v>
      </c>
      <c r="AA12" s="1" t="s">
        <v>66</v>
      </c>
      <c r="AG12" t="s">
        <v>449</v>
      </c>
      <c r="AM12" t="s">
        <v>68</v>
      </c>
      <c r="AO12" t="s">
        <v>281</v>
      </c>
      <c r="AV12" t="s">
        <v>426</v>
      </c>
    </row>
    <row r="13" spans="1:49" x14ac:dyDescent="0.25">
      <c r="B13" s="1" t="s">
        <v>97</v>
      </c>
      <c r="C13" s="1" t="s">
        <v>444</v>
      </c>
      <c r="D13" s="1" t="s">
        <v>445</v>
      </c>
      <c r="E13" s="1" t="s">
        <v>97</v>
      </c>
      <c r="F13" t="s">
        <v>121</v>
      </c>
      <c r="G13" t="s">
        <v>459</v>
      </c>
      <c r="H13" s="3" t="s">
        <v>58</v>
      </c>
      <c r="I13" s="1" t="s">
        <v>97</v>
      </c>
      <c r="J13" s="1" t="s">
        <v>59</v>
      </c>
      <c r="K13" s="1" t="s">
        <v>97</v>
      </c>
      <c r="L13" s="1" t="s">
        <v>61</v>
      </c>
      <c r="R13" s="1" t="s">
        <v>62</v>
      </c>
      <c r="S13" s="1" t="s">
        <v>63</v>
      </c>
      <c r="T13" s="1" t="s">
        <v>63</v>
      </c>
      <c r="U13" s="1" t="s">
        <v>59</v>
      </c>
      <c r="V13" s="1" t="s">
        <v>447</v>
      </c>
      <c r="Y13" s="1" t="s">
        <v>448</v>
      </c>
      <c r="Z13" s="1" t="str">
        <f t="shared" si="0"/>
        <v>Elbow 45 deg DN125 LR BW. Welded CS ASTM A234-WPB. Dims to ASME B16.9</v>
      </c>
      <c r="AA13" s="1" t="s">
        <v>66</v>
      </c>
      <c r="AG13" t="s">
        <v>449</v>
      </c>
      <c r="AM13" t="s">
        <v>68</v>
      </c>
      <c r="AO13" t="s">
        <v>281</v>
      </c>
      <c r="AV13" t="s">
        <v>426</v>
      </c>
    </row>
    <row r="14" spans="1:49" x14ac:dyDescent="0.25">
      <c r="B14" s="1" t="s">
        <v>99</v>
      </c>
      <c r="C14" s="1" t="s">
        <v>444</v>
      </c>
      <c r="D14" s="1" t="s">
        <v>445</v>
      </c>
      <c r="E14" s="1" t="s">
        <v>99</v>
      </c>
      <c r="F14" t="s">
        <v>121</v>
      </c>
      <c r="G14" t="s">
        <v>460</v>
      </c>
      <c r="H14" s="3" t="s">
        <v>58</v>
      </c>
      <c r="I14" s="1" t="s">
        <v>99</v>
      </c>
      <c r="J14" s="1" t="s">
        <v>59</v>
      </c>
      <c r="K14" s="1" t="s">
        <v>101</v>
      </c>
      <c r="L14" s="1" t="s">
        <v>61</v>
      </c>
      <c r="R14" s="1" t="s">
        <v>62</v>
      </c>
      <c r="S14" s="1" t="s">
        <v>63</v>
      </c>
      <c r="T14" s="1" t="s">
        <v>63</v>
      </c>
      <c r="U14" s="1" t="s">
        <v>59</v>
      </c>
      <c r="V14" s="1" t="s">
        <v>447</v>
      </c>
      <c r="Y14" s="1" t="s">
        <v>448</v>
      </c>
      <c r="Z14" s="1" t="str">
        <f t="shared" si="0"/>
        <v>Elbow 45 deg DN150 LR BW. Welded CS ASTM A234-WPB. Dims to ASME B16.9</v>
      </c>
      <c r="AA14" s="1" t="s">
        <v>66</v>
      </c>
      <c r="AG14" t="s">
        <v>449</v>
      </c>
      <c r="AM14" t="s">
        <v>68</v>
      </c>
      <c r="AO14" t="s">
        <v>281</v>
      </c>
      <c r="AV14" t="s">
        <v>426</v>
      </c>
    </row>
    <row r="15" spans="1:49" x14ac:dyDescent="0.25">
      <c r="B15" s="1" t="s">
        <v>102</v>
      </c>
      <c r="C15" s="1" t="s">
        <v>444</v>
      </c>
      <c r="D15" s="1" t="s">
        <v>445</v>
      </c>
      <c r="E15" s="1" t="s">
        <v>102</v>
      </c>
      <c r="F15" t="s">
        <v>121</v>
      </c>
      <c r="G15" t="s">
        <v>461</v>
      </c>
      <c r="H15" s="3" t="s">
        <v>58</v>
      </c>
      <c r="I15" s="1" t="s">
        <v>102</v>
      </c>
      <c r="J15" s="1" t="s">
        <v>59</v>
      </c>
      <c r="K15" s="1" t="s">
        <v>104</v>
      </c>
      <c r="L15" s="1" t="s">
        <v>61</v>
      </c>
      <c r="R15" s="1" t="s">
        <v>62</v>
      </c>
      <c r="S15" s="1" t="s">
        <v>63</v>
      </c>
      <c r="T15" s="1" t="s">
        <v>63</v>
      </c>
      <c r="U15" s="1" t="s">
        <v>59</v>
      </c>
      <c r="V15" s="1" t="s">
        <v>447</v>
      </c>
      <c r="Y15" s="1" t="s">
        <v>448</v>
      </c>
      <c r="Z15" s="1" t="str">
        <f t="shared" si="0"/>
        <v>Elbow 45 deg DN200 LR BW. Welded CS ASTM A234-WPB. Dims to ASME B16.9</v>
      </c>
      <c r="AA15" s="1" t="s">
        <v>66</v>
      </c>
      <c r="AG15" t="s">
        <v>449</v>
      </c>
      <c r="AM15" t="s">
        <v>68</v>
      </c>
      <c r="AO15" t="s">
        <v>281</v>
      </c>
      <c r="AV15" t="s">
        <v>426</v>
      </c>
    </row>
    <row r="16" spans="1:49" x14ac:dyDescent="0.25">
      <c r="B16" s="1" t="s">
        <v>105</v>
      </c>
      <c r="C16" s="1" t="s">
        <v>444</v>
      </c>
      <c r="D16" s="1" t="s">
        <v>445</v>
      </c>
      <c r="E16" s="1" t="s">
        <v>105</v>
      </c>
      <c r="F16" t="s">
        <v>121</v>
      </c>
      <c r="G16" t="s">
        <v>462</v>
      </c>
      <c r="H16" s="3" t="s">
        <v>58</v>
      </c>
      <c r="I16" s="1" t="s">
        <v>105</v>
      </c>
      <c r="J16" s="1" t="s">
        <v>59</v>
      </c>
      <c r="K16" s="1" t="s">
        <v>107</v>
      </c>
      <c r="L16" s="1" t="s">
        <v>61</v>
      </c>
      <c r="R16" s="1" t="s">
        <v>62</v>
      </c>
      <c r="S16" s="1" t="s">
        <v>63</v>
      </c>
      <c r="T16" s="1" t="s">
        <v>63</v>
      </c>
      <c r="U16" s="1" t="s">
        <v>59</v>
      </c>
      <c r="V16" s="1" t="s">
        <v>447</v>
      </c>
      <c r="Y16" s="1" t="s">
        <v>448</v>
      </c>
      <c r="Z16" s="1" t="str">
        <f t="shared" si="0"/>
        <v>Elbow 45 deg DN250 LR BW. Welded CS ASTM A234-WPB. Dims to ASME B16.9</v>
      </c>
      <c r="AA16" s="1" t="s">
        <v>66</v>
      </c>
      <c r="AG16" t="s">
        <v>449</v>
      </c>
      <c r="AM16" t="s">
        <v>68</v>
      </c>
      <c r="AO16" t="s">
        <v>281</v>
      </c>
      <c r="AV16" t="s">
        <v>426</v>
      </c>
    </row>
    <row r="17" spans="2:48" x14ac:dyDescent="0.25">
      <c r="B17" s="1" t="s">
        <v>108</v>
      </c>
      <c r="C17" s="1" t="s">
        <v>444</v>
      </c>
      <c r="D17" s="1" t="s">
        <v>445</v>
      </c>
      <c r="E17" s="1" t="s">
        <v>108</v>
      </c>
      <c r="F17" t="s">
        <v>121</v>
      </c>
      <c r="G17" t="s">
        <v>463</v>
      </c>
      <c r="H17" s="3" t="s">
        <v>58</v>
      </c>
      <c r="I17" s="1" t="s">
        <v>108</v>
      </c>
      <c r="J17" s="1" t="s">
        <v>59</v>
      </c>
      <c r="K17" s="1" t="s">
        <v>110</v>
      </c>
      <c r="L17" s="1" t="s">
        <v>61</v>
      </c>
      <c r="R17" s="1" t="s">
        <v>62</v>
      </c>
      <c r="S17" s="1" t="s">
        <v>63</v>
      </c>
      <c r="T17" s="1" t="s">
        <v>63</v>
      </c>
      <c r="U17" s="1" t="s">
        <v>59</v>
      </c>
      <c r="V17" s="1" t="s">
        <v>447</v>
      </c>
      <c r="Y17" s="1" t="s">
        <v>448</v>
      </c>
      <c r="Z17" s="1" t="str">
        <f t="shared" si="0"/>
        <v>Elbow 45 deg DN300 LR BW. Welded CS ASTM A234-WPB. Dims to ASME B16.9</v>
      </c>
      <c r="AA17" s="1" t="s">
        <v>66</v>
      </c>
      <c r="AG17" t="s">
        <v>449</v>
      </c>
      <c r="AM17" t="s">
        <v>68</v>
      </c>
      <c r="AO17" t="s">
        <v>281</v>
      </c>
      <c r="AV17" t="s">
        <v>426</v>
      </c>
    </row>
    <row r="18" spans="2:48" x14ac:dyDescent="0.25">
      <c r="B18" s="1" t="s">
        <v>111</v>
      </c>
      <c r="C18" s="1" t="s">
        <v>444</v>
      </c>
      <c r="D18" s="1" t="s">
        <v>445</v>
      </c>
      <c r="E18" s="1" t="s">
        <v>111</v>
      </c>
      <c r="F18" t="s">
        <v>121</v>
      </c>
      <c r="G18" t="s">
        <v>464</v>
      </c>
      <c r="H18" s="3" t="s">
        <v>58</v>
      </c>
      <c r="I18" s="1" t="s">
        <v>111</v>
      </c>
      <c r="J18" s="1" t="s">
        <v>59</v>
      </c>
      <c r="K18" s="1" t="s">
        <v>113</v>
      </c>
      <c r="L18" s="1" t="s">
        <v>61</v>
      </c>
      <c r="R18" s="1" t="s">
        <v>62</v>
      </c>
      <c r="S18" s="1" t="s">
        <v>63</v>
      </c>
      <c r="T18" s="1" t="s">
        <v>63</v>
      </c>
      <c r="U18" s="1" t="s">
        <v>59</v>
      </c>
      <c r="V18" s="1" t="s">
        <v>447</v>
      </c>
      <c r="Y18" s="1" t="s">
        <v>448</v>
      </c>
      <c r="Z18" s="1" t="str">
        <f t="shared" si="0"/>
        <v>Elbow 45 deg DN350 LR BW. Welded CS ASTM A234-WPB. Dims to ASME B16.9</v>
      </c>
      <c r="AA18" s="1" t="s">
        <v>66</v>
      </c>
      <c r="AG18" t="s">
        <v>449</v>
      </c>
      <c r="AM18" t="s">
        <v>68</v>
      </c>
      <c r="AO18" t="s">
        <v>281</v>
      </c>
      <c r="AV18" t="s">
        <v>426</v>
      </c>
    </row>
    <row r="19" spans="2:48" x14ac:dyDescent="0.25">
      <c r="B19" s="1" t="s">
        <v>114</v>
      </c>
      <c r="C19" s="1" t="s">
        <v>444</v>
      </c>
      <c r="D19" s="1" t="s">
        <v>445</v>
      </c>
      <c r="E19" s="1" t="s">
        <v>114</v>
      </c>
      <c r="F19" t="s">
        <v>121</v>
      </c>
      <c r="G19" t="s">
        <v>465</v>
      </c>
      <c r="H19" s="3" t="s">
        <v>58</v>
      </c>
      <c r="I19" s="1" t="s">
        <v>114</v>
      </c>
      <c r="J19" s="1" t="s">
        <v>59</v>
      </c>
      <c r="K19" s="1" t="s">
        <v>116</v>
      </c>
      <c r="L19" s="1" t="s">
        <v>61</v>
      </c>
      <c r="R19" s="1" t="s">
        <v>62</v>
      </c>
      <c r="S19" s="1" t="s">
        <v>63</v>
      </c>
      <c r="T19" s="1" t="s">
        <v>63</v>
      </c>
      <c r="U19" s="1" t="s">
        <v>59</v>
      </c>
      <c r="V19" s="1" t="s">
        <v>447</v>
      </c>
      <c r="Y19" s="1" t="s">
        <v>448</v>
      </c>
      <c r="Z19" s="1" t="str">
        <f t="shared" si="0"/>
        <v>Elbow 45 deg DN400 LR BW. Welded CS ASTM A234-WPB. Dims to ASME B16.9</v>
      </c>
      <c r="AA19" s="1" t="s">
        <v>66</v>
      </c>
      <c r="AG19" t="s">
        <v>449</v>
      </c>
      <c r="AM19" t="s">
        <v>68</v>
      </c>
      <c r="AO19" t="s">
        <v>281</v>
      </c>
      <c r="AV19" t="s">
        <v>426</v>
      </c>
    </row>
    <row r="20" spans="2:48" x14ac:dyDescent="0.25">
      <c r="B20" s="1" t="s">
        <v>117</v>
      </c>
      <c r="C20" s="1" t="s">
        <v>444</v>
      </c>
      <c r="D20" s="1" t="s">
        <v>445</v>
      </c>
      <c r="E20" s="1" t="s">
        <v>117</v>
      </c>
      <c r="F20" t="s">
        <v>121</v>
      </c>
      <c r="G20" t="s">
        <v>466</v>
      </c>
      <c r="H20" s="3" t="s">
        <v>58</v>
      </c>
      <c r="I20" s="1" t="s">
        <v>117</v>
      </c>
      <c r="J20" s="1" t="s">
        <v>59</v>
      </c>
      <c r="K20" s="1" t="s">
        <v>119</v>
      </c>
      <c r="L20" s="1" t="s">
        <v>61</v>
      </c>
      <c r="R20" s="1" t="s">
        <v>62</v>
      </c>
      <c r="S20" s="1" t="s">
        <v>63</v>
      </c>
      <c r="T20" s="1" t="s">
        <v>63</v>
      </c>
      <c r="U20" s="1" t="s">
        <v>59</v>
      </c>
      <c r="V20" s="1" t="s">
        <v>447</v>
      </c>
      <c r="Y20" s="1" t="s">
        <v>448</v>
      </c>
      <c r="Z20" s="1" t="str">
        <f t="shared" si="0"/>
        <v>Elbow 45 deg DN450 LR BW. Welded CS ASTM A234-WPB. Dims to ASME B16.9</v>
      </c>
      <c r="AA20" s="1" t="s">
        <v>66</v>
      </c>
      <c r="AG20" t="s">
        <v>449</v>
      </c>
      <c r="AM20" t="s">
        <v>68</v>
      </c>
      <c r="AO20" t="s">
        <v>281</v>
      </c>
      <c r="AV20" t="s">
        <v>426</v>
      </c>
    </row>
  </sheetData>
  <sheetProtection formatCells="0" formatColumns="0" insertColumns="0" deleteColumns="0"/>
  <dataValidations count="2">
    <dataValidation type="list" allowBlank="1" showInputMessage="1" showErrorMessage="1" sqref="AD3:AD20" xr:uid="{00000000-0002-0000-0B00-000000000000}">
      <formula1>"LB,KG"</formula1>
    </dataValidation>
    <dataValidation type="decimal" allowBlank="1" showInputMessage="1" showErrorMessage="1" sqref="AS3:AU20 AM3:AM20 AI3:AI20 AC3:AC20 S3:T20 P3:P20 K3:K20 I3:I20" xr:uid="{00000000-0002-0000-0B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20"/>
  <sheetViews>
    <sheetView topLeftCell="T2" workbookViewId="0">
      <selection activeCell="Z4" sqref="Z4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30" style="1" bestFit="1" customWidth="1"/>
    <col min="4" max="4" width="118.140625" style="1" bestFit="1" customWidth="1"/>
    <col min="5" max="5" width="3.7109375" style="1" bestFit="1" customWidth="1"/>
    <col min="6" max="6" width="32.42578125" bestFit="1" customWidth="1"/>
    <col min="7" max="7" width="38" bestFit="1" customWidth="1"/>
    <col min="8" max="8" width="15.85546875" style="1" bestFit="1" customWidth="1"/>
    <col min="9" max="9" width="23" style="1" bestFit="1" customWidth="1"/>
    <col min="10" max="10" width="18.42578125" style="1" bestFit="1" customWidth="1"/>
    <col min="11" max="11" width="22" style="1" bestFit="1" customWidth="1"/>
    <col min="12" max="12" width="14.42578125" style="1" bestFit="1" customWidth="1"/>
    <col min="13" max="13" width="15.5703125" style="1" bestFit="1" customWidth="1"/>
    <col min="14" max="14" width="15.85546875" style="1" bestFit="1" customWidth="1"/>
    <col min="15" max="15" width="12.28515625" style="1" bestFit="1" customWidth="1"/>
    <col min="16" max="16" width="21.5703125" style="1" bestFit="1" customWidth="1"/>
    <col min="17" max="17" width="19.140625" style="1" bestFit="1" customWidth="1"/>
    <col min="18" max="18" width="15" style="1" bestFit="1" customWidth="1"/>
    <col min="19" max="19" width="19.7109375" style="1" bestFit="1" customWidth="1"/>
    <col min="20" max="20" width="24.140625" style="1" bestFit="1" customWidth="1"/>
    <col min="21" max="21" width="16.7109375" style="1" bestFit="1" customWidth="1"/>
    <col min="22" max="22" width="24.28515625" style="1" bestFit="1" customWidth="1"/>
    <col min="23" max="23" width="19.42578125" style="1" bestFit="1" customWidth="1"/>
    <col min="24" max="24" width="9.85546875" style="1" bestFit="1" customWidth="1"/>
    <col min="25" max="25" width="64.28515625" style="1" bestFit="1" customWidth="1"/>
    <col min="26" max="26" width="69.5703125" style="1" bestFit="1" customWidth="1"/>
    <col min="27" max="27" width="8.5703125" style="1" bestFit="1" customWidth="1"/>
    <col min="28" max="28" width="13.28515625" style="1" bestFit="1" customWidth="1"/>
    <col min="29" max="29" width="7.5703125" style="1" bestFit="1" customWidth="1"/>
    <col min="30" max="30" width="11.42578125" style="1" bestFit="1" customWidth="1"/>
    <col min="31" max="32" width="5.28515625" style="1" bestFit="1" customWidth="1"/>
    <col min="33" max="33" width="36.42578125" bestFit="1" customWidth="1"/>
    <col min="34" max="34" width="19" bestFit="1" customWidth="1"/>
    <col min="35" max="35" width="10" bestFit="1" customWidth="1"/>
    <col min="36" max="36" width="13.28515625" style="1" bestFit="1" customWidth="1"/>
    <col min="37" max="37" width="9.7109375" style="1" bestFit="1" customWidth="1"/>
    <col min="38" max="38" width="20.42578125" style="1" bestFit="1" customWidth="1"/>
    <col min="39" max="39" width="20.42578125" bestFit="1" customWidth="1"/>
    <col min="40" max="40" width="22.42578125" style="1" bestFit="1" customWidth="1"/>
    <col min="41" max="41" width="12.42578125" bestFit="1" customWidth="1"/>
    <col min="42" max="42" width="26.85546875" bestFit="1" customWidth="1"/>
    <col min="43" max="43" width="11.42578125" bestFit="1" customWidth="1"/>
    <col min="44" max="44" width="6.42578125" style="1" bestFit="1" customWidth="1"/>
    <col min="45" max="45" width="10.140625" style="1" bestFit="1" customWidth="1"/>
    <col min="46" max="46" width="12" style="1" bestFit="1" customWidth="1"/>
    <col min="47" max="47" width="14.28515625" style="1" bestFit="1" customWidth="1"/>
    <col min="48" max="48" width="14.28515625" bestFit="1" customWidth="1"/>
    <col min="49" max="49" width="22.7109375" bestFit="1" customWidth="1"/>
    <col min="50" max="50" width="9.140625" customWidth="1"/>
  </cols>
  <sheetData>
    <row r="1" spans="1:49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t="s">
        <v>6</v>
      </c>
      <c r="G1" t="s">
        <v>7</v>
      </c>
      <c r="H1" s="3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t="s">
        <v>33</v>
      </c>
      <c r="AH1" t="s">
        <v>34</v>
      </c>
      <c r="AI1" t="s">
        <v>35</v>
      </c>
      <c r="AJ1" s="1" t="s">
        <v>36</v>
      </c>
      <c r="AK1" s="1" t="s">
        <v>37</v>
      </c>
      <c r="AL1" s="1" t="s">
        <v>38</v>
      </c>
      <c r="AM1" t="s">
        <v>39</v>
      </c>
      <c r="AN1" s="1" t="s">
        <v>40</v>
      </c>
      <c r="AO1" t="s">
        <v>41</v>
      </c>
      <c r="AP1" t="s">
        <v>42</v>
      </c>
      <c r="AQ1" t="s">
        <v>43</v>
      </c>
      <c r="AR1" s="1" t="s">
        <v>44</v>
      </c>
      <c r="AS1" s="1" t="s">
        <v>416</v>
      </c>
      <c r="AT1" s="1" t="s">
        <v>417</v>
      </c>
      <c r="AU1" s="1" t="s">
        <v>418</v>
      </c>
      <c r="AV1" t="s">
        <v>50</v>
      </c>
      <c r="AW1" t="s">
        <v>51</v>
      </c>
    </row>
    <row r="2" spans="1:49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416</v>
      </c>
      <c r="AT2" s="2" t="s">
        <v>417</v>
      </c>
      <c r="AU2" s="2" t="s">
        <v>418</v>
      </c>
      <c r="AV2" s="2" t="s">
        <v>50</v>
      </c>
      <c r="AW2" s="2" t="s">
        <v>51</v>
      </c>
    </row>
    <row r="3" spans="1:49" x14ac:dyDescent="0.25">
      <c r="B3" s="1" t="s">
        <v>54</v>
      </c>
      <c r="C3" s="1" t="s">
        <v>467</v>
      </c>
      <c r="D3" s="1" t="s">
        <v>468</v>
      </c>
      <c r="E3" s="1" t="s">
        <v>54</v>
      </c>
      <c r="F3" t="s">
        <v>121</v>
      </c>
      <c r="G3" t="s">
        <v>469</v>
      </c>
      <c r="H3" s="3" t="s">
        <v>58</v>
      </c>
      <c r="I3" s="1" t="s">
        <v>54</v>
      </c>
      <c r="J3" s="1" t="s">
        <v>59</v>
      </c>
      <c r="K3" s="1" t="s">
        <v>60</v>
      </c>
      <c r="L3" s="1" t="s">
        <v>61</v>
      </c>
      <c r="R3" s="1" t="s">
        <v>62</v>
      </c>
      <c r="S3" s="1" t="s">
        <v>63</v>
      </c>
      <c r="T3" s="1" t="s">
        <v>63</v>
      </c>
      <c r="U3" s="1" t="s">
        <v>59</v>
      </c>
      <c r="V3" s="1" t="s">
        <v>470</v>
      </c>
      <c r="Y3" s="1" t="s">
        <v>471</v>
      </c>
      <c r="Z3" s="1" t="str">
        <f>REPLACE(Y3, 13, 0, " DN" &amp; E3)</f>
        <v>Elbow 90 deg DN15 SR BW. Welded CS ASTM A234-WPB. Dims to ASME B16.9</v>
      </c>
      <c r="AA3" s="1" t="s">
        <v>66</v>
      </c>
      <c r="AG3" t="s">
        <v>472</v>
      </c>
      <c r="AM3" t="s">
        <v>68</v>
      </c>
      <c r="AO3" t="s">
        <v>281</v>
      </c>
      <c r="AV3" t="s">
        <v>426</v>
      </c>
    </row>
    <row r="4" spans="1:49" x14ac:dyDescent="0.25">
      <c r="B4" s="1" t="s">
        <v>71</v>
      </c>
      <c r="C4" s="1" t="s">
        <v>467</v>
      </c>
      <c r="D4" s="1" t="s">
        <v>468</v>
      </c>
      <c r="E4" s="1" t="s">
        <v>71</v>
      </c>
      <c r="F4" t="s">
        <v>121</v>
      </c>
      <c r="G4" t="s">
        <v>473</v>
      </c>
      <c r="H4" s="3" t="s">
        <v>58</v>
      </c>
      <c r="I4" s="1" t="s">
        <v>71</v>
      </c>
      <c r="J4" s="1" t="s">
        <v>59</v>
      </c>
      <c r="K4" s="1" t="s">
        <v>73</v>
      </c>
      <c r="L4" s="1" t="s">
        <v>61</v>
      </c>
      <c r="R4" s="1" t="s">
        <v>62</v>
      </c>
      <c r="S4" s="1" t="s">
        <v>63</v>
      </c>
      <c r="T4" s="1" t="s">
        <v>63</v>
      </c>
      <c r="U4" s="1" t="s">
        <v>59</v>
      </c>
      <c r="V4" s="1" t="s">
        <v>470</v>
      </c>
      <c r="Y4" s="1" t="s">
        <v>471</v>
      </c>
      <c r="Z4" s="1" t="str">
        <f t="shared" ref="Z4:Z20" si="0">REPLACE(Y4, 13, 0, " DN" &amp; E4)</f>
        <v>Elbow 90 deg DN20 SR BW. Welded CS ASTM A234-WPB. Dims to ASME B16.9</v>
      </c>
      <c r="AA4" s="1" t="s">
        <v>66</v>
      </c>
      <c r="AG4" t="s">
        <v>472</v>
      </c>
      <c r="AM4" t="s">
        <v>68</v>
      </c>
      <c r="AO4" t="s">
        <v>281</v>
      </c>
      <c r="AV4" t="s">
        <v>426</v>
      </c>
    </row>
    <row r="5" spans="1:49" x14ac:dyDescent="0.25">
      <c r="B5" s="1" t="s">
        <v>74</v>
      </c>
      <c r="C5" s="1" t="s">
        <v>467</v>
      </c>
      <c r="D5" s="1" t="s">
        <v>468</v>
      </c>
      <c r="E5" s="1" t="s">
        <v>74</v>
      </c>
      <c r="F5" t="s">
        <v>121</v>
      </c>
      <c r="G5" t="s">
        <v>474</v>
      </c>
      <c r="H5" s="3" t="s">
        <v>58</v>
      </c>
      <c r="I5" s="1" t="s">
        <v>74</v>
      </c>
      <c r="J5" s="1" t="s">
        <v>59</v>
      </c>
      <c r="K5" s="1" t="s">
        <v>76</v>
      </c>
      <c r="L5" s="1" t="s">
        <v>61</v>
      </c>
      <c r="R5" s="1" t="s">
        <v>62</v>
      </c>
      <c r="S5" s="1" t="s">
        <v>63</v>
      </c>
      <c r="T5" s="1" t="s">
        <v>63</v>
      </c>
      <c r="U5" s="1" t="s">
        <v>59</v>
      </c>
      <c r="V5" s="1" t="s">
        <v>470</v>
      </c>
      <c r="Y5" s="1" t="s">
        <v>471</v>
      </c>
      <c r="Z5" s="1" t="str">
        <f t="shared" si="0"/>
        <v>Elbow 90 deg DN25 SR BW. Welded CS ASTM A234-WPB. Dims to ASME B16.9</v>
      </c>
      <c r="AA5" s="1" t="s">
        <v>66</v>
      </c>
      <c r="AG5" t="s">
        <v>472</v>
      </c>
      <c r="AM5" t="s">
        <v>68</v>
      </c>
      <c r="AO5" t="s">
        <v>281</v>
      </c>
      <c r="AV5" t="s">
        <v>426</v>
      </c>
    </row>
    <row r="6" spans="1:49" x14ac:dyDescent="0.25">
      <c r="B6" s="1" t="s">
        <v>77</v>
      </c>
      <c r="C6" s="1" t="s">
        <v>467</v>
      </c>
      <c r="D6" s="1" t="s">
        <v>468</v>
      </c>
      <c r="E6" s="1" t="s">
        <v>77</v>
      </c>
      <c r="F6" t="s">
        <v>121</v>
      </c>
      <c r="G6" t="s">
        <v>475</v>
      </c>
      <c r="H6" s="3" t="s">
        <v>58</v>
      </c>
      <c r="I6" s="1" t="s">
        <v>77</v>
      </c>
      <c r="J6" s="1" t="s">
        <v>59</v>
      </c>
      <c r="K6" s="1" t="s">
        <v>79</v>
      </c>
      <c r="L6" s="1" t="s">
        <v>61</v>
      </c>
      <c r="R6" s="1" t="s">
        <v>62</v>
      </c>
      <c r="S6" s="1" t="s">
        <v>63</v>
      </c>
      <c r="T6" s="1" t="s">
        <v>63</v>
      </c>
      <c r="U6" s="1" t="s">
        <v>59</v>
      </c>
      <c r="V6" s="1" t="s">
        <v>470</v>
      </c>
      <c r="Y6" s="1" t="s">
        <v>471</v>
      </c>
      <c r="Z6" s="1" t="str">
        <f t="shared" si="0"/>
        <v>Elbow 90 deg DN32 SR BW. Welded CS ASTM A234-WPB. Dims to ASME B16.9</v>
      </c>
      <c r="AA6" s="1" t="s">
        <v>66</v>
      </c>
      <c r="AG6" t="s">
        <v>472</v>
      </c>
      <c r="AM6" t="s">
        <v>68</v>
      </c>
      <c r="AO6" t="s">
        <v>281</v>
      </c>
      <c r="AV6" t="s">
        <v>426</v>
      </c>
    </row>
    <row r="7" spans="1:49" x14ac:dyDescent="0.25">
      <c r="B7" s="1" t="s">
        <v>62</v>
      </c>
      <c r="C7" s="1" t="s">
        <v>467</v>
      </c>
      <c r="D7" s="1" t="s">
        <v>468</v>
      </c>
      <c r="E7" s="1" t="s">
        <v>62</v>
      </c>
      <c r="F7" t="s">
        <v>121</v>
      </c>
      <c r="G7" t="s">
        <v>476</v>
      </c>
      <c r="H7" s="3" t="s">
        <v>58</v>
      </c>
      <c r="I7" s="1" t="s">
        <v>62</v>
      </c>
      <c r="J7" s="1" t="s">
        <v>59</v>
      </c>
      <c r="K7" s="1" t="s">
        <v>82</v>
      </c>
      <c r="L7" s="1" t="s">
        <v>61</v>
      </c>
      <c r="R7" s="1" t="s">
        <v>62</v>
      </c>
      <c r="S7" s="1" t="s">
        <v>63</v>
      </c>
      <c r="T7" s="1" t="s">
        <v>63</v>
      </c>
      <c r="U7" s="1" t="s">
        <v>59</v>
      </c>
      <c r="V7" s="1" t="s">
        <v>470</v>
      </c>
      <c r="Y7" s="1" t="s">
        <v>471</v>
      </c>
      <c r="Z7" s="1" t="str">
        <f t="shared" si="0"/>
        <v>Elbow 90 deg DN40 SR BW. Welded CS ASTM A234-WPB. Dims to ASME B16.9</v>
      </c>
      <c r="AA7" s="1" t="s">
        <v>66</v>
      </c>
      <c r="AG7" t="s">
        <v>472</v>
      </c>
      <c r="AM7" t="s">
        <v>68</v>
      </c>
      <c r="AO7" t="s">
        <v>281</v>
      </c>
      <c r="AV7" t="s">
        <v>426</v>
      </c>
    </row>
    <row r="8" spans="1:49" x14ac:dyDescent="0.25">
      <c r="B8" s="1" t="s">
        <v>83</v>
      </c>
      <c r="C8" s="1" t="s">
        <v>467</v>
      </c>
      <c r="D8" s="1" t="s">
        <v>468</v>
      </c>
      <c r="E8" s="1" t="s">
        <v>83</v>
      </c>
      <c r="F8" t="s">
        <v>121</v>
      </c>
      <c r="G8" t="s">
        <v>477</v>
      </c>
      <c r="H8" s="3" t="s">
        <v>58</v>
      </c>
      <c r="I8" s="1" t="s">
        <v>83</v>
      </c>
      <c r="J8" s="1" t="s">
        <v>59</v>
      </c>
      <c r="K8" s="1" t="s">
        <v>85</v>
      </c>
      <c r="L8" s="1" t="s">
        <v>61</v>
      </c>
      <c r="R8" s="1" t="s">
        <v>62</v>
      </c>
      <c r="S8" s="1" t="s">
        <v>63</v>
      </c>
      <c r="T8" s="1" t="s">
        <v>63</v>
      </c>
      <c r="U8" s="1" t="s">
        <v>59</v>
      </c>
      <c r="V8" s="1" t="s">
        <v>470</v>
      </c>
      <c r="Y8" s="1" t="s">
        <v>471</v>
      </c>
      <c r="Z8" s="1" t="str">
        <f t="shared" si="0"/>
        <v>Elbow 90 deg DN50 SR BW. Welded CS ASTM A234-WPB. Dims to ASME B16.9</v>
      </c>
      <c r="AA8" s="1" t="s">
        <v>66</v>
      </c>
      <c r="AG8" t="s">
        <v>472</v>
      </c>
      <c r="AM8" t="s">
        <v>68</v>
      </c>
      <c r="AO8" t="s">
        <v>281</v>
      </c>
      <c r="AV8" t="s">
        <v>426</v>
      </c>
    </row>
    <row r="9" spans="1:49" x14ac:dyDescent="0.25">
      <c r="B9" s="1" t="s">
        <v>86</v>
      </c>
      <c r="C9" s="1" t="s">
        <v>467</v>
      </c>
      <c r="D9" s="1" t="s">
        <v>468</v>
      </c>
      <c r="E9" s="1" t="s">
        <v>86</v>
      </c>
      <c r="F9" t="s">
        <v>121</v>
      </c>
      <c r="G9" t="s">
        <v>478</v>
      </c>
      <c r="H9" s="3" t="s">
        <v>58</v>
      </c>
      <c r="I9" s="1" t="s">
        <v>86</v>
      </c>
      <c r="J9" s="1" t="s">
        <v>59</v>
      </c>
      <c r="K9" s="1" t="s">
        <v>88</v>
      </c>
      <c r="L9" s="1" t="s">
        <v>61</v>
      </c>
      <c r="R9" s="1" t="s">
        <v>62</v>
      </c>
      <c r="S9" s="1" t="s">
        <v>63</v>
      </c>
      <c r="T9" s="1" t="s">
        <v>63</v>
      </c>
      <c r="U9" s="1" t="s">
        <v>59</v>
      </c>
      <c r="V9" s="1" t="s">
        <v>470</v>
      </c>
      <c r="Y9" s="1" t="s">
        <v>471</v>
      </c>
      <c r="Z9" s="1" t="str">
        <f t="shared" si="0"/>
        <v>Elbow 90 deg DN65 SR BW. Welded CS ASTM A234-WPB. Dims to ASME B16.9</v>
      </c>
      <c r="AA9" s="1" t="s">
        <v>66</v>
      </c>
      <c r="AG9" t="s">
        <v>472</v>
      </c>
      <c r="AM9" t="s">
        <v>68</v>
      </c>
      <c r="AO9" t="s">
        <v>281</v>
      </c>
      <c r="AV9" t="s">
        <v>426</v>
      </c>
    </row>
    <row r="10" spans="1:49" x14ac:dyDescent="0.25">
      <c r="B10" s="1" t="s">
        <v>89</v>
      </c>
      <c r="C10" s="1" t="s">
        <v>467</v>
      </c>
      <c r="D10" s="1" t="s">
        <v>468</v>
      </c>
      <c r="E10" s="1" t="s">
        <v>89</v>
      </c>
      <c r="F10" t="s">
        <v>121</v>
      </c>
      <c r="G10" t="s">
        <v>479</v>
      </c>
      <c r="H10" s="3" t="s">
        <v>58</v>
      </c>
      <c r="I10" s="1" t="s">
        <v>89</v>
      </c>
      <c r="J10" s="1" t="s">
        <v>59</v>
      </c>
      <c r="K10" s="1" t="s">
        <v>91</v>
      </c>
      <c r="L10" s="1" t="s">
        <v>61</v>
      </c>
      <c r="R10" s="1" t="s">
        <v>62</v>
      </c>
      <c r="S10" s="1" t="s">
        <v>63</v>
      </c>
      <c r="T10" s="1" t="s">
        <v>63</v>
      </c>
      <c r="U10" s="1" t="s">
        <v>59</v>
      </c>
      <c r="V10" s="1" t="s">
        <v>470</v>
      </c>
      <c r="Y10" s="1" t="s">
        <v>471</v>
      </c>
      <c r="Z10" s="1" t="str">
        <f t="shared" si="0"/>
        <v>Elbow 90 deg DN80 SR BW. Welded CS ASTM A234-WPB. Dims to ASME B16.9</v>
      </c>
      <c r="AA10" s="1" t="s">
        <v>66</v>
      </c>
      <c r="AG10" t="s">
        <v>472</v>
      </c>
      <c r="AM10" t="s">
        <v>68</v>
      </c>
      <c r="AO10" t="s">
        <v>281</v>
      </c>
      <c r="AV10" t="s">
        <v>426</v>
      </c>
    </row>
    <row r="11" spans="1:49" x14ac:dyDescent="0.25">
      <c r="B11" s="1" t="s">
        <v>92</v>
      </c>
      <c r="C11" s="1" t="s">
        <v>467</v>
      </c>
      <c r="D11" s="1" t="s">
        <v>468</v>
      </c>
      <c r="E11" s="1" t="s">
        <v>92</v>
      </c>
      <c r="F11" t="s">
        <v>121</v>
      </c>
      <c r="G11" t="s">
        <v>480</v>
      </c>
      <c r="H11" s="3" t="s">
        <v>58</v>
      </c>
      <c r="I11" s="1" t="s">
        <v>92</v>
      </c>
      <c r="J11" s="1" t="s">
        <v>59</v>
      </c>
      <c r="K11" s="1" t="s">
        <v>92</v>
      </c>
      <c r="L11" s="1" t="s">
        <v>61</v>
      </c>
      <c r="R11" s="1" t="s">
        <v>62</v>
      </c>
      <c r="S11" s="1" t="s">
        <v>63</v>
      </c>
      <c r="T11" s="1" t="s">
        <v>63</v>
      </c>
      <c r="U11" s="1" t="s">
        <v>59</v>
      </c>
      <c r="V11" s="1" t="s">
        <v>470</v>
      </c>
      <c r="Y11" s="1" t="s">
        <v>471</v>
      </c>
      <c r="Z11" s="1" t="str">
        <f t="shared" si="0"/>
        <v>Elbow 90 deg DN90 SR BW. Welded CS ASTM A234-WPB. Dims to ASME B16.9</v>
      </c>
      <c r="AA11" s="1" t="s">
        <v>66</v>
      </c>
      <c r="AG11" t="s">
        <v>472</v>
      </c>
      <c r="AM11" t="s">
        <v>68</v>
      </c>
      <c r="AO11" t="s">
        <v>281</v>
      </c>
      <c r="AV11" t="s">
        <v>426</v>
      </c>
    </row>
    <row r="12" spans="1:49" x14ac:dyDescent="0.25">
      <c r="B12" s="1" t="s">
        <v>94</v>
      </c>
      <c r="C12" s="1" t="s">
        <v>467</v>
      </c>
      <c r="D12" s="1" t="s">
        <v>468</v>
      </c>
      <c r="E12" s="1" t="s">
        <v>94</v>
      </c>
      <c r="F12" t="s">
        <v>121</v>
      </c>
      <c r="G12" t="s">
        <v>481</v>
      </c>
      <c r="H12" s="3" t="s">
        <v>58</v>
      </c>
      <c r="I12" s="1" t="s">
        <v>94</v>
      </c>
      <c r="J12" s="1" t="s">
        <v>59</v>
      </c>
      <c r="K12" s="1" t="s">
        <v>96</v>
      </c>
      <c r="L12" s="1" t="s">
        <v>61</v>
      </c>
      <c r="R12" s="1" t="s">
        <v>62</v>
      </c>
      <c r="S12" s="1" t="s">
        <v>63</v>
      </c>
      <c r="T12" s="1" t="s">
        <v>63</v>
      </c>
      <c r="U12" s="1" t="s">
        <v>59</v>
      </c>
      <c r="V12" s="1" t="s">
        <v>470</v>
      </c>
      <c r="Y12" s="1" t="s">
        <v>471</v>
      </c>
      <c r="Z12" s="1" t="str">
        <f t="shared" si="0"/>
        <v>Elbow 90 deg DN100 SR BW. Welded CS ASTM A234-WPB. Dims to ASME B16.9</v>
      </c>
      <c r="AA12" s="1" t="s">
        <v>66</v>
      </c>
      <c r="AG12" t="s">
        <v>472</v>
      </c>
      <c r="AM12" t="s">
        <v>68</v>
      </c>
      <c r="AO12" t="s">
        <v>281</v>
      </c>
      <c r="AV12" t="s">
        <v>426</v>
      </c>
    </row>
    <row r="13" spans="1:49" x14ac:dyDescent="0.25">
      <c r="B13" s="1" t="s">
        <v>97</v>
      </c>
      <c r="C13" s="1" t="s">
        <v>467</v>
      </c>
      <c r="D13" s="1" t="s">
        <v>468</v>
      </c>
      <c r="E13" s="1" t="s">
        <v>97</v>
      </c>
      <c r="F13" t="s">
        <v>121</v>
      </c>
      <c r="G13" t="s">
        <v>482</v>
      </c>
      <c r="H13" s="3" t="s">
        <v>58</v>
      </c>
      <c r="I13" s="1" t="s">
        <v>97</v>
      </c>
      <c r="J13" s="1" t="s">
        <v>59</v>
      </c>
      <c r="K13" s="1" t="s">
        <v>97</v>
      </c>
      <c r="L13" s="1" t="s">
        <v>61</v>
      </c>
      <c r="R13" s="1" t="s">
        <v>62</v>
      </c>
      <c r="S13" s="1" t="s">
        <v>63</v>
      </c>
      <c r="T13" s="1" t="s">
        <v>63</v>
      </c>
      <c r="U13" s="1" t="s">
        <v>59</v>
      </c>
      <c r="V13" s="1" t="s">
        <v>470</v>
      </c>
      <c r="Y13" s="1" t="s">
        <v>471</v>
      </c>
      <c r="Z13" s="1" t="str">
        <f t="shared" si="0"/>
        <v>Elbow 90 deg DN125 SR BW. Welded CS ASTM A234-WPB. Dims to ASME B16.9</v>
      </c>
      <c r="AA13" s="1" t="s">
        <v>66</v>
      </c>
      <c r="AG13" t="s">
        <v>472</v>
      </c>
      <c r="AM13" t="s">
        <v>68</v>
      </c>
      <c r="AO13" t="s">
        <v>281</v>
      </c>
      <c r="AV13" t="s">
        <v>426</v>
      </c>
    </row>
    <row r="14" spans="1:49" x14ac:dyDescent="0.25">
      <c r="B14" s="1" t="s">
        <v>99</v>
      </c>
      <c r="C14" s="1" t="s">
        <v>467</v>
      </c>
      <c r="D14" s="1" t="s">
        <v>468</v>
      </c>
      <c r="E14" s="1" t="s">
        <v>99</v>
      </c>
      <c r="F14" t="s">
        <v>121</v>
      </c>
      <c r="G14" t="s">
        <v>483</v>
      </c>
      <c r="H14" s="3" t="s">
        <v>58</v>
      </c>
      <c r="I14" s="1" t="s">
        <v>99</v>
      </c>
      <c r="J14" s="1" t="s">
        <v>59</v>
      </c>
      <c r="K14" s="1" t="s">
        <v>101</v>
      </c>
      <c r="L14" s="1" t="s">
        <v>61</v>
      </c>
      <c r="R14" s="1" t="s">
        <v>62</v>
      </c>
      <c r="S14" s="1" t="s">
        <v>63</v>
      </c>
      <c r="T14" s="1" t="s">
        <v>63</v>
      </c>
      <c r="U14" s="1" t="s">
        <v>59</v>
      </c>
      <c r="V14" s="1" t="s">
        <v>470</v>
      </c>
      <c r="Y14" s="1" t="s">
        <v>471</v>
      </c>
      <c r="Z14" s="1" t="str">
        <f t="shared" si="0"/>
        <v>Elbow 90 deg DN150 SR BW. Welded CS ASTM A234-WPB. Dims to ASME B16.9</v>
      </c>
      <c r="AA14" s="1" t="s">
        <v>66</v>
      </c>
      <c r="AG14" t="s">
        <v>472</v>
      </c>
      <c r="AM14" t="s">
        <v>68</v>
      </c>
      <c r="AO14" t="s">
        <v>281</v>
      </c>
      <c r="AV14" t="s">
        <v>426</v>
      </c>
    </row>
    <row r="15" spans="1:49" x14ac:dyDescent="0.25">
      <c r="B15" s="1" t="s">
        <v>102</v>
      </c>
      <c r="C15" s="1" t="s">
        <v>467</v>
      </c>
      <c r="D15" s="1" t="s">
        <v>468</v>
      </c>
      <c r="E15" s="1" t="s">
        <v>102</v>
      </c>
      <c r="F15" t="s">
        <v>121</v>
      </c>
      <c r="G15" t="s">
        <v>484</v>
      </c>
      <c r="H15" s="3" t="s">
        <v>58</v>
      </c>
      <c r="I15" s="1" t="s">
        <v>102</v>
      </c>
      <c r="J15" s="1" t="s">
        <v>59</v>
      </c>
      <c r="K15" s="1" t="s">
        <v>104</v>
      </c>
      <c r="L15" s="1" t="s">
        <v>61</v>
      </c>
      <c r="R15" s="1" t="s">
        <v>62</v>
      </c>
      <c r="S15" s="1" t="s">
        <v>63</v>
      </c>
      <c r="T15" s="1" t="s">
        <v>63</v>
      </c>
      <c r="U15" s="1" t="s">
        <v>59</v>
      </c>
      <c r="V15" s="1" t="s">
        <v>470</v>
      </c>
      <c r="Y15" s="1" t="s">
        <v>471</v>
      </c>
      <c r="Z15" s="1" t="str">
        <f t="shared" si="0"/>
        <v>Elbow 90 deg DN200 SR BW. Welded CS ASTM A234-WPB. Dims to ASME B16.9</v>
      </c>
      <c r="AA15" s="1" t="s">
        <v>66</v>
      </c>
      <c r="AG15" t="s">
        <v>472</v>
      </c>
      <c r="AM15" t="s">
        <v>68</v>
      </c>
      <c r="AO15" t="s">
        <v>281</v>
      </c>
      <c r="AV15" t="s">
        <v>426</v>
      </c>
    </row>
    <row r="16" spans="1:49" x14ac:dyDescent="0.25">
      <c r="B16" s="1" t="s">
        <v>105</v>
      </c>
      <c r="C16" s="1" t="s">
        <v>467</v>
      </c>
      <c r="D16" s="1" t="s">
        <v>468</v>
      </c>
      <c r="E16" s="1" t="s">
        <v>105</v>
      </c>
      <c r="F16" t="s">
        <v>121</v>
      </c>
      <c r="G16" t="s">
        <v>485</v>
      </c>
      <c r="H16" s="3" t="s">
        <v>58</v>
      </c>
      <c r="I16" s="1" t="s">
        <v>105</v>
      </c>
      <c r="J16" s="1" t="s">
        <v>59</v>
      </c>
      <c r="K16" s="1" t="s">
        <v>107</v>
      </c>
      <c r="L16" s="1" t="s">
        <v>61</v>
      </c>
      <c r="R16" s="1" t="s">
        <v>62</v>
      </c>
      <c r="S16" s="1" t="s">
        <v>63</v>
      </c>
      <c r="T16" s="1" t="s">
        <v>63</v>
      </c>
      <c r="U16" s="1" t="s">
        <v>59</v>
      </c>
      <c r="V16" s="1" t="s">
        <v>470</v>
      </c>
      <c r="Y16" s="1" t="s">
        <v>471</v>
      </c>
      <c r="Z16" s="1" t="str">
        <f t="shared" si="0"/>
        <v>Elbow 90 deg DN250 SR BW. Welded CS ASTM A234-WPB. Dims to ASME B16.9</v>
      </c>
      <c r="AA16" s="1" t="s">
        <v>66</v>
      </c>
      <c r="AG16" t="s">
        <v>472</v>
      </c>
      <c r="AM16" t="s">
        <v>68</v>
      </c>
      <c r="AO16" t="s">
        <v>281</v>
      </c>
      <c r="AV16" t="s">
        <v>426</v>
      </c>
    </row>
    <row r="17" spans="2:48" x14ac:dyDescent="0.25">
      <c r="B17" s="1" t="s">
        <v>108</v>
      </c>
      <c r="C17" s="1" t="s">
        <v>467</v>
      </c>
      <c r="D17" s="1" t="s">
        <v>468</v>
      </c>
      <c r="E17" s="1" t="s">
        <v>108</v>
      </c>
      <c r="F17" t="s">
        <v>121</v>
      </c>
      <c r="G17" t="s">
        <v>486</v>
      </c>
      <c r="H17" s="3" t="s">
        <v>58</v>
      </c>
      <c r="I17" s="1" t="s">
        <v>108</v>
      </c>
      <c r="J17" s="1" t="s">
        <v>59</v>
      </c>
      <c r="K17" s="1" t="s">
        <v>110</v>
      </c>
      <c r="L17" s="1" t="s">
        <v>61</v>
      </c>
      <c r="R17" s="1" t="s">
        <v>62</v>
      </c>
      <c r="S17" s="1" t="s">
        <v>63</v>
      </c>
      <c r="T17" s="1" t="s">
        <v>63</v>
      </c>
      <c r="U17" s="1" t="s">
        <v>59</v>
      </c>
      <c r="V17" s="1" t="s">
        <v>470</v>
      </c>
      <c r="Y17" s="1" t="s">
        <v>471</v>
      </c>
      <c r="Z17" s="1" t="str">
        <f t="shared" si="0"/>
        <v>Elbow 90 deg DN300 SR BW. Welded CS ASTM A234-WPB. Dims to ASME B16.9</v>
      </c>
      <c r="AA17" s="1" t="s">
        <v>66</v>
      </c>
      <c r="AG17" t="s">
        <v>472</v>
      </c>
      <c r="AM17" t="s">
        <v>68</v>
      </c>
      <c r="AO17" t="s">
        <v>281</v>
      </c>
      <c r="AV17" t="s">
        <v>426</v>
      </c>
    </row>
    <row r="18" spans="2:48" x14ac:dyDescent="0.25">
      <c r="B18" s="1" t="s">
        <v>111</v>
      </c>
      <c r="C18" s="1" t="s">
        <v>467</v>
      </c>
      <c r="D18" s="1" t="s">
        <v>468</v>
      </c>
      <c r="E18" s="1" t="s">
        <v>111</v>
      </c>
      <c r="F18" t="s">
        <v>121</v>
      </c>
      <c r="G18" t="s">
        <v>487</v>
      </c>
      <c r="H18" s="3" t="s">
        <v>58</v>
      </c>
      <c r="I18" s="1" t="s">
        <v>111</v>
      </c>
      <c r="J18" s="1" t="s">
        <v>59</v>
      </c>
      <c r="K18" s="1" t="s">
        <v>113</v>
      </c>
      <c r="L18" s="1" t="s">
        <v>61</v>
      </c>
      <c r="R18" s="1" t="s">
        <v>62</v>
      </c>
      <c r="S18" s="1" t="s">
        <v>63</v>
      </c>
      <c r="T18" s="1" t="s">
        <v>63</v>
      </c>
      <c r="U18" s="1" t="s">
        <v>59</v>
      </c>
      <c r="V18" s="1" t="s">
        <v>470</v>
      </c>
      <c r="Y18" s="1" t="s">
        <v>471</v>
      </c>
      <c r="Z18" s="1" t="str">
        <f t="shared" si="0"/>
        <v>Elbow 90 deg DN350 SR BW. Welded CS ASTM A234-WPB. Dims to ASME B16.9</v>
      </c>
      <c r="AA18" s="1" t="s">
        <v>66</v>
      </c>
      <c r="AG18" t="s">
        <v>472</v>
      </c>
      <c r="AM18" t="s">
        <v>68</v>
      </c>
      <c r="AO18" t="s">
        <v>281</v>
      </c>
      <c r="AV18" t="s">
        <v>426</v>
      </c>
    </row>
    <row r="19" spans="2:48" x14ac:dyDescent="0.25">
      <c r="B19" s="1" t="s">
        <v>114</v>
      </c>
      <c r="C19" s="1" t="s">
        <v>467</v>
      </c>
      <c r="D19" s="1" t="s">
        <v>468</v>
      </c>
      <c r="E19" s="1" t="s">
        <v>114</v>
      </c>
      <c r="F19" t="s">
        <v>121</v>
      </c>
      <c r="G19" t="s">
        <v>488</v>
      </c>
      <c r="H19" s="3" t="s">
        <v>58</v>
      </c>
      <c r="I19" s="1" t="s">
        <v>114</v>
      </c>
      <c r="J19" s="1" t="s">
        <v>59</v>
      </c>
      <c r="K19" s="1" t="s">
        <v>116</v>
      </c>
      <c r="L19" s="1" t="s">
        <v>61</v>
      </c>
      <c r="R19" s="1" t="s">
        <v>62</v>
      </c>
      <c r="S19" s="1" t="s">
        <v>63</v>
      </c>
      <c r="T19" s="1" t="s">
        <v>63</v>
      </c>
      <c r="U19" s="1" t="s">
        <v>59</v>
      </c>
      <c r="V19" s="1" t="s">
        <v>470</v>
      </c>
      <c r="Y19" s="1" t="s">
        <v>471</v>
      </c>
      <c r="Z19" s="1" t="str">
        <f t="shared" si="0"/>
        <v>Elbow 90 deg DN400 SR BW. Welded CS ASTM A234-WPB. Dims to ASME B16.9</v>
      </c>
      <c r="AA19" s="1" t="s">
        <v>66</v>
      </c>
      <c r="AG19" t="s">
        <v>472</v>
      </c>
      <c r="AM19" t="s">
        <v>68</v>
      </c>
      <c r="AO19" t="s">
        <v>281</v>
      </c>
      <c r="AV19" t="s">
        <v>426</v>
      </c>
    </row>
    <row r="20" spans="2:48" x14ac:dyDescent="0.25">
      <c r="B20" s="1" t="s">
        <v>117</v>
      </c>
      <c r="C20" s="1" t="s">
        <v>467</v>
      </c>
      <c r="D20" s="1" t="s">
        <v>468</v>
      </c>
      <c r="E20" s="1" t="s">
        <v>117</v>
      </c>
      <c r="F20" t="s">
        <v>121</v>
      </c>
      <c r="G20" t="s">
        <v>489</v>
      </c>
      <c r="H20" s="3" t="s">
        <v>58</v>
      </c>
      <c r="I20" s="1" t="s">
        <v>117</v>
      </c>
      <c r="J20" s="1" t="s">
        <v>59</v>
      </c>
      <c r="K20" s="1" t="s">
        <v>119</v>
      </c>
      <c r="L20" s="1" t="s">
        <v>61</v>
      </c>
      <c r="R20" s="1" t="s">
        <v>62</v>
      </c>
      <c r="S20" s="1" t="s">
        <v>63</v>
      </c>
      <c r="T20" s="1" t="s">
        <v>63</v>
      </c>
      <c r="U20" s="1" t="s">
        <v>59</v>
      </c>
      <c r="V20" s="1" t="s">
        <v>470</v>
      </c>
      <c r="Y20" s="1" t="s">
        <v>471</v>
      </c>
      <c r="Z20" s="1" t="str">
        <f t="shared" si="0"/>
        <v>Elbow 90 deg DN450 SR BW. Welded CS ASTM A234-WPB. Dims to ASME B16.9</v>
      </c>
      <c r="AA20" s="1" t="s">
        <v>66</v>
      </c>
      <c r="AG20" t="s">
        <v>472</v>
      </c>
      <c r="AM20" t="s">
        <v>68</v>
      </c>
      <c r="AO20" t="s">
        <v>281</v>
      </c>
      <c r="AV20" t="s">
        <v>426</v>
      </c>
    </row>
  </sheetData>
  <sheetProtection formatCells="0" formatColumns="0" insertColumns="0" deleteColumns="0"/>
  <dataValidations disablePrompts="1" count="2">
    <dataValidation type="list" allowBlank="1" showInputMessage="1" showErrorMessage="1" sqref="AD3:AD20" xr:uid="{00000000-0002-0000-0C00-000000000000}">
      <formula1>"LB,KG"</formula1>
    </dataValidation>
    <dataValidation type="decimal" allowBlank="1" showInputMessage="1" showErrorMessage="1" sqref="AS3:AU20 AM3:AM20 AI3:AI20 AC3:AC20 S3:T20 P3:P20 K3:K20 I3:I20" xr:uid="{00000000-0002-0000-0C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20"/>
  <sheetViews>
    <sheetView topLeftCell="R2" workbookViewId="0">
      <selection activeCell="Z4" sqref="Z4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7.140625" style="1" bestFit="1" customWidth="1"/>
    <col min="4" max="4" width="115.28515625" style="1" bestFit="1" customWidth="1"/>
    <col min="5" max="5" width="3.7109375" style="1" bestFit="1" customWidth="1"/>
    <col min="6" max="6" width="32.42578125" bestFit="1" customWidth="1"/>
    <col min="7" max="7" width="37.5703125" bestFit="1" customWidth="1"/>
    <col min="8" max="8" width="15.85546875" style="1" bestFit="1" customWidth="1"/>
    <col min="9" max="9" width="23" style="1" bestFit="1" customWidth="1"/>
    <col min="10" max="10" width="18.42578125" style="1" bestFit="1" customWidth="1"/>
    <col min="11" max="11" width="22" style="1" bestFit="1" customWidth="1"/>
    <col min="12" max="12" width="14.42578125" style="1" bestFit="1" customWidth="1"/>
    <col min="13" max="13" width="15.5703125" style="1" bestFit="1" customWidth="1"/>
    <col min="14" max="14" width="15.85546875" style="1" bestFit="1" customWidth="1"/>
    <col min="15" max="15" width="12.28515625" style="1" bestFit="1" customWidth="1"/>
    <col min="16" max="16" width="21.5703125" style="1" bestFit="1" customWidth="1"/>
    <col min="17" max="17" width="19.140625" style="1" bestFit="1" customWidth="1"/>
    <col min="18" max="18" width="15" style="1" bestFit="1" customWidth="1"/>
    <col min="19" max="19" width="19.7109375" style="1" bestFit="1" customWidth="1"/>
    <col min="20" max="20" width="24.140625" style="1" bestFit="1" customWidth="1"/>
    <col min="21" max="21" width="16.7109375" style="1" bestFit="1" customWidth="1"/>
    <col min="22" max="22" width="21.5703125" style="1" bestFit="1" customWidth="1"/>
    <col min="23" max="23" width="19.42578125" style="1" bestFit="1" customWidth="1"/>
    <col min="24" max="24" width="9.85546875" style="1" bestFit="1" customWidth="1"/>
    <col min="25" max="25" width="56.7109375" style="1" bestFit="1" customWidth="1"/>
    <col min="26" max="26" width="62" style="1" bestFit="1" customWidth="1"/>
    <col min="27" max="27" width="8.5703125" style="1" bestFit="1" customWidth="1"/>
    <col min="28" max="28" width="13.28515625" style="1" bestFit="1" customWidth="1"/>
    <col min="29" max="29" width="7.5703125" style="1" bestFit="1" customWidth="1"/>
    <col min="30" max="30" width="11.42578125" style="1" bestFit="1" customWidth="1"/>
    <col min="31" max="32" width="5.28515625" style="1" bestFit="1" customWidth="1"/>
    <col min="33" max="33" width="37.140625" bestFit="1" customWidth="1"/>
    <col min="34" max="34" width="19" bestFit="1" customWidth="1"/>
    <col min="35" max="35" width="10" bestFit="1" customWidth="1"/>
    <col min="36" max="36" width="13.28515625" style="1" bestFit="1" customWidth="1"/>
    <col min="37" max="37" width="9.7109375" style="1" bestFit="1" customWidth="1"/>
    <col min="38" max="38" width="20.42578125" style="1" bestFit="1" customWidth="1"/>
    <col min="39" max="39" width="20.42578125" bestFit="1" customWidth="1"/>
    <col min="40" max="40" width="22.42578125" style="1" bestFit="1" customWidth="1"/>
    <col min="41" max="41" width="12.42578125" bestFit="1" customWidth="1"/>
    <col min="42" max="42" width="26.85546875" bestFit="1" customWidth="1"/>
    <col min="43" max="43" width="11.42578125" bestFit="1" customWidth="1"/>
    <col min="44" max="44" width="6.42578125" style="1" bestFit="1" customWidth="1"/>
    <col min="45" max="45" width="10.140625" style="1" bestFit="1" customWidth="1"/>
    <col min="46" max="46" width="12" style="1" bestFit="1" customWidth="1"/>
    <col min="47" max="47" width="14.28515625" style="1" bestFit="1" customWidth="1"/>
    <col min="48" max="48" width="14.28515625" bestFit="1" customWidth="1"/>
    <col min="49" max="49" width="22.7109375" bestFit="1" customWidth="1"/>
    <col min="50" max="50" width="9.140625" customWidth="1"/>
  </cols>
  <sheetData>
    <row r="1" spans="1:49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t="s">
        <v>6</v>
      </c>
      <c r="G1" t="s">
        <v>7</v>
      </c>
      <c r="H1" s="3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t="s">
        <v>33</v>
      </c>
      <c r="AH1" t="s">
        <v>34</v>
      </c>
      <c r="AI1" t="s">
        <v>35</v>
      </c>
      <c r="AJ1" s="1" t="s">
        <v>36</v>
      </c>
      <c r="AK1" s="1" t="s">
        <v>37</v>
      </c>
      <c r="AL1" s="1" t="s">
        <v>38</v>
      </c>
      <c r="AM1" t="s">
        <v>39</v>
      </c>
      <c r="AN1" s="1" t="s">
        <v>40</v>
      </c>
      <c r="AO1" t="s">
        <v>41</v>
      </c>
      <c r="AP1" t="s">
        <v>42</v>
      </c>
      <c r="AQ1" t="s">
        <v>43</v>
      </c>
      <c r="AR1" s="1" t="s">
        <v>44</v>
      </c>
      <c r="AS1" s="1" t="s">
        <v>416</v>
      </c>
      <c r="AT1" s="1" t="s">
        <v>417</v>
      </c>
      <c r="AU1" s="1" t="s">
        <v>418</v>
      </c>
      <c r="AV1" t="s">
        <v>50</v>
      </c>
      <c r="AW1" t="s">
        <v>51</v>
      </c>
    </row>
    <row r="2" spans="1:49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416</v>
      </c>
      <c r="AT2" s="2" t="s">
        <v>417</v>
      </c>
      <c r="AU2" s="2" t="s">
        <v>418</v>
      </c>
      <c r="AV2" s="2" t="s">
        <v>50</v>
      </c>
      <c r="AW2" s="2" t="s">
        <v>51</v>
      </c>
    </row>
    <row r="3" spans="1:49" x14ac:dyDescent="0.25">
      <c r="B3" s="1" t="s">
        <v>54</v>
      </c>
      <c r="C3" s="1" t="s">
        <v>490</v>
      </c>
      <c r="D3" s="1" t="s">
        <v>491</v>
      </c>
      <c r="E3" s="1" t="s">
        <v>54</v>
      </c>
      <c r="F3" t="s">
        <v>121</v>
      </c>
      <c r="G3" t="s">
        <v>492</v>
      </c>
      <c r="H3" s="3" t="s">
        <v>58</v>
      </c>
      <c r="I3" s="1" t="s">
        <v>54</v>
      </c>
      <c r="J3" s="1" t="s">
        <v>59</v>
      </c>
      <c r="K3" s="1" t="s">
        <v>60</v>
      </c>
      <c r="L3" s="1" t="s">
        <v>126</v>
      </c>
      <c r="Q3" s="1" t="s">
        <v>276</v>
      </c>
      <c r="S3" s="1" t="s">
        <v>63</v>
      </c>
      <c r="T3" s="1" t="s">
        <v>63</v>
      </c>
      <c r="U3" s="1" t="s">
        <v>59</v>
      </c>
      <c r="V3" s="1" t="s">
        <v>493</v>
      </c>
      <c r="Y3" s="1" t="s">
        <v>494</v>
      </c>
      <c r="Z3" s="1" t="str">
        <f>REPLACE(Y3, 13, 0, " DN" &amp; E3)</f>
        <v>Elbow 90 deg DN15 SW CL3000 CS ASTM A105N Dims to ASME B16.11</v>
      </c>
      <c r="AA3" s="1" t="s">
        <v>66</v>
      </c>
      <c r="AG3" t="s">
        <v>495</v>
      </c>
      <c r="AM3" t="s">
        <v>68</v>
      </c>
      <c r="AO3" t="s">
        <v>281</v>
      </c>
      <c r="AV3" t="s">
        <v>426</v>
      </c>
    </row>
    <row r="4" spans="1:49" x14ac:dyDescent="0.25">
      <c r="B4" s="1" t="s">
        <v>71</v>
      </c>
      <c r="C4" s="1" t="s">
        <v>490</v>
      </c>
      <c r="D4" s="1" t="s">
        <v>491</v>
      </c>
      <c r="E4" s="1" t="s">
        <v>71</v>
      </c>
      <c r="F4" t="s">
        <v>121</v>
      </c>
      <c r="G4" t="s">
        <v>496</v>
      </c>
      <c r="H4" s="3" t="s">
        <v>58</v>
      </c>
      <c r="I4" s="1" t="s">
        <v>71</v>
      </c>
      <c r="J4" s="1" t="s">
        <v>59</v>
      </c>
      <c r="K4" s="1" t="s">
        <v>73</v>
      </c>
      <c r="L4" s="1" t="s">
        <v>126</v>
      </c>
      <c r="Q4" s="1" t="s">
        <v>276</v>
      </c>
      <c r="S4" s="1" t="s">
        <v>63</v>
      </c>
      <c r="T4" s="1" t="s">
        <v>63</v>
      </c>
      <c r="U4" s="1" t="s">
        <v>59</v>
      </c>
      <c r="V4" s="1" t="s">
        <v>493</v>
      </c>
      <c r="Y4" s="1" t="s">
        <v>494</v>
      </c>
      <c r="Z4" s="1" t="str">
        <f t="shared" ref="Z4:Z20" si="0">REPLACE(Y4, 13, 0, " DN" &amp; E4)</f>
        <v>Elbow 90 deg DN20 SW CL3000 CS ASTM A105N Dims to ASME B16.11</v>
      </c>
      <c r="AA4" s="1" t="s">
        <v>66</v>
      </c>
      <c r="AG4" t="s">
        <v>495</v>
      </c>
      <c r="AM4" t="s">
        <v>68</v>
      </c>
      <c r="AO4" t="s">
        <v>281</v>
      </c>
      <c r="AV4" t="s">
        <v>426</v>
      </c>
    </row>
    <row r="5" spans="1:49" x14ac:dyDescent="0.25">
      <c r="B5" s="1" t="s">
        <v>74</v>
      </c>
      <c r="C5" s="1" t="s">
        <v>490</v>
      </c>
      <c r="D5" s="1" t="s">
        <v>491</v>
      </c>
      <c r="E5" s="1" t="s">
        <v>74</v>
      </c>
      <c r="F5" t="s">
        <v>121</v>
      </c>
      <c r="G5" t="s">
        <v>497</v>
      </c>
      <c r="H5" s="3" t="s">
        <v>58</v>
      </c>
      <c r="I5" s="1" t="s">
        <v>74</v>
      </c>
      <c r="J5" s="1" t="s">
        <v>59</v>
      </c>
      <c r="K5" s="1" t="s">
        <v>76</v>
      </c>
      <c r="L5" s="1" t="s">
        <v>126</v>
      </c>
      <c r="Q5" s="1" t="s">
        <v>276</v>
      </c>
      <c r="S5" s="1" t="s">
        <v>63</v>
      </c>
      <c r="T5" s="1" t="s">
        <v>63</v>
      </c>
      <c r="U5" s="1" t="s">
        <v>59</v>
      </c>
      <c r="V5" s="1" t="s">
        <v>493</v>
      </c>
      <c r="Y5" s="1" t="s">
        <v>494</v>
      </c>
      <c r="Z5" s="1" t="str">
        <f t="shared" si="0"/>
        <v>Elbow 90 deg DN25 SW CL3000 CS ASTM A105N Dims to ASME B16.11</v>
      </c>
      <c r="AA5" s="1" t="s">
        <v>66</v>
      </c>
      <c r="AG5" t="s">
        <v>495</v>
      </c>
      <c r="AM5" t="s">
        <v>68</v>
      </c>
      <c r="AO5" t="s">
        <v>281</v>
      </c>
      <c r="AV5" t="s">
        <v>426</v>
      </c>
    </row>
    <row r="6" spans="1:49" x14ac:dyDescent="0.25">
      <c r="B6" s="1" t="s">
        <v>77</v>
      </c>
      <c r="C6" s="1" t="s">
        <v>490</v>
      </c>
      <c r="D6" s="1" t="s">
        <v>491</v>
      </c>
      <c r="E6" s="1" t="s">
        <v>77</v>
      </c>
      <c r="F6" t="s">
        <v>121</v>
      </c>
      <c r="G6" t="s">
        <v>498</v>
      </c>
      <c r="H6" s="3" t="s">
        <v>58</v>
      </c>
      <c r="I6" s="1" t="s">
        <v>77</v>
      </c>
      <c r="J6" s="1" t="s">
        <v>59</v>
      </c>
      <c r="K6" s="1" t="s">
        <v>79</v>
      </c>
      <c r="L6" s="1" t="s">
        <v>126</v>
      </c>
      <c r="Q6" s="1" t="s">
        <v>276</v>
      </c>
      <c r="S6" s="1" t="s">
        <v>63</v>
      </c>
      <c r="T6" s="1" t="s">
        <v>63</v>
      </c>
      <c r="U6" s="1" t="s">
        <v>59</v>
      </c>
      <c r="V6" s="1" t="s">
        <v>493</v>
      </c>
      <c r="Y6" s="1" t="s">
        <v>494</v>
      </c>
      <c r="Z6" s="1" t="str">
        <f t="shared" si="0"/>
        <v>Elbow 90 deg DN32 SW CL3000 CS ASTM A105N Dims to ASME B16.11</v>
      </c>
      <c r="AA6" s="1" t="s">
        <v>66</v>
      </c>
      <c r="AG6" t="s">
        <v>495</v>
      </c>
      <c r="AM6" t="s">
        <v>68</v>
      </c>
      <c r="AO6" t="s">
        <v>281</v>
      </c>
      <c r="AV6" t="s">
        <v>426</v>
      </c>
    </row>
    <row r="7" spans="1:49" x14ac:dyDescent="0.25">
      <c r="B7" s="1" t="s">
        <v>62</v>
      </c>
      <c r="C7" s="1" t="s">
        <v>490</v>
      </c>
      <c r="D7" s="1" t="s">
        <v>491</v>
      </c>
      <c r="E7" s="1" t="s">
        <v>62</v>
      </c>
      <c r="F7" t="s">
        <v>121</v>
      </c>
      <c r="G7" t="s">
        <v>499</v>
      </c>
      <c r="H7" s="3" t="s">
        <v>58</v>
      </c>
      <c r="I7" s="1" t="s">
        <v>62</v>
      </c>
      <c r="J7" s="1" t="s">
        <v>59</v>
      </c>
      <c r="K7" s="1" t="s">
        <v>82</v>
      </c>
      <c r="L7" s="1" t="s">
        <v>126</v>
      </c>
      <c r="Q7" s="1" t="s">
        <v>276</v>
      </c>
      <c r="S7" s="1" t="s">
        <v>63</v>
      </c>
      <c r="T7" s="1" t="s">
        <v>63</v>
      </c>
      <c r="U7" s="1" t="s">
        <v>59</v>
      </c>
      <c r="V7" s="1" t="s">
        <v>493</v>
      </c>
      <c r="Y7" s="1" t="s">
        <v>494</v>
      </c>
      <c r="Z7" s="1" t="str">
        <f t="shared" si="0"/>
        <v>Elbow 90 deg DN40 SW CL3000 CS ASTM A105N Dims to ASME B16.11</v>
      </c>
      <c r="AA7" s="1" t="s">
        <v>66</v>
      </c>
      <c r="AG7" t="s">
        <v>495</v>
      </c>
      <c r="AM7" t="s">
        <v>68</v>
      </c>
      <c r="AO7" t="s">
        <v>281</v>
      </c>
      <c r="AV7" t="s">
        <v>426</v>
      </c>
    </row>
    <row r="8" spans="1:49" x14ac:dyDescent="0.25">
      <c r="B8" s="1" t="s">
        <v>83</v>
      </c>
      <c r="C8" s="1" t="s">
        <v>490</v>
      </c>
      <c r="D8" s="1" t="s">
        <v>491</v>
      </c>
      <c r="E8" s="1" t="s">
        <v>83</v>
      </c>
      <c r="F8" t="s">
        <v>121</v>
      </c>
      <c r="G8" t="s">
        <v>500</v>
      </c>
      <c r="H8" s="3" t="s">
        <v>58</v>
      </c>
      <c r="I8" s="1" t="s">
        <v>83</v>
      </c>
      <c r="J8" s="1" t="s">
        <v>59</v>
      </c>
      <c r="K8" s="1" t="s">
        <v>85</v>
      </c>
      <c r="L8" s="1" t="s">
        <v>126</v>
      </c>
      <c r="Q8" s="1" t="s">
        <v>276</v>
      </c>
      <c r="S8" s="1" t="s">
        <v>63</v>
      </c>
      <c r="T8" s="1" t="s">
        <v>63</v>
      </c>
      <c r="U8" s="1" t="s">
        <v>59</v>
      </c>
      <c r="V8" s="1" t="s">
        <v>493</v>
      </c>
      <c r="Y8" s="1" t="s">
        <v>494</v>
      </c>
      <c r="Z8" s="1" t="str">
        <f t="shared" si="0"/>
        <v>Elbow 90 deg DN50 SW CL3000 CS ASTM A105N Dims to ASME B16.11</v>
      </c>
      <c r="AA8" s="1" t="s">
        <v>66</v>
      </c>
      <c r="AG8" t="s">
        <v>495</v>
      </c>
      <c r="AM8" t="s">
        <v>68</v>
      </c>
      <c r="AO8" t="s">
        <v>281</v>
      </c>
      <c r="AV8" t="s">
        <v>426</v>
      </c>
    </row>
    <row r="9" spans="1:49" x14ac:dyDescent="0.25">
      <c r="B9" s="1" t="s">
        <v>86</v>
      </c>
      <c r="C9" s="1" t="s">
        <v>490</v>
      </c>
      <c r="D9" s="1" t="s">
        <v>491</v>
      </c>
      <c r="E9" s="1" t="s">
        <v>86</v>
      </c>
      <c r="F9" t="s">
        <v>121</v>
      </c>
      <c r="G9" t="s">
        <v>501</v>
      </c>
      <c r="H9" s="3" t="s">
        <v>58</v>
      </c>
      <c r="I9" s="1" t="s">
        <v>86</v>
      </c>
      <c r="J9" s="1" t="s">
        <v>59</v>
      </c>
      <c r="K9" s="1" t="s">
        <v>88</v>
      </c>
      <c r="L9" s="1" t="s">
        <v>126</v>
      </c>
      <c r="Q9" s="1" t="s">
        <v>276</v>
      </c>
      <c r="S9" s="1" t="s">
        <v>63</v>
      </c>
      <c r="T9" s="1" t="s">
        <v>63</v>
      </c>
      <c r="U9" s="1" t="s">
        <v>59</v>
      </c>
      <c r="V9" s="1" t="s">
        <v>493</v>
      </c>
      <c r="Y9" s="1" t="s">
        <v>494</v>
      </c>
      <c r="Z9" s="1" t="str">
        <f t="shared" si="0"/>
        <v>Elbow 90 deg DN65 SW CL3000 CS ASTM A105N Dims to ASME B16.11</v>
      </c>
      <c r="AA9" s="1" t="s">
        <v>66</v>
      </c>
      <c r="AG9" t="s">
        <v>495</v>
      </c>
      <c r="AM9" t="s">
        <v>68</v>
      </c>
      <c r="AO9" t="s">
        <v>281</v>
      </c>
      <c r="AV9" t="s">
        <v>426</v>
      </c>
    </row>
    <row r="10" spans="1:49" x14ac:dyDescent="0.25">
      <c r="B10" s="1" t="s">
        <v>89</v>
      </c>
      <c r="C10" s="1" t="s">
        <v>490</v>
      </c>
      <c r="D10" s="1" t="s">
        <v>491</v>
      </c>
      <c r="E10" s="1" t="s">
        <v>89</v>
      </c>
      <c r="F10" t="s">
        <v>121</v>
      </c>
      <c r="G10" t="s">
        <v>502</v>
      </c>
      <c r="H10" s="3" t="s">
        <v>58</v>
      </c>
      <c r="I10" s="1" t="s">
        <v>89</v>
      </c>
      <c r="J10" s="1" t="s">
        <v>59</v>
      </c>
      <c r="K10" s="1" t="s">
        <v>91</v>
      </c>
      <c r="L10" s="1" t="s">
        <v>126</v>
      </c>
      <c r="Q10" s="1" t="s">
        <v>276</v>
      </c>
      <c r="S10" s="1" t="s">
        <v>63</v>
      </c>
      <c r="T10" s="1" t="s">
        <v>63</v>
      </c>
      <c r="U10" s="1" t="s">
        <v>59</v>
      </c>
      <c r="V10" s="1" t="s">
        <v>493</v>
      </c>
      <c r="Y10" s="1" t="s">
        <v>494</v>
      </c>
      <c r="Z10" s="1" t="str">
        <f t="shared" si="0"/>
        <v>Elbow 90 deg DN80 SW CL3000 CS ASTM A105N Dims to ASME B16.11</v>
      </c>
      <c r="AA10" s="1" t="s">
        <v>66</v>
      </c>
      <c r="AG10" t="s">
        <v>495</v>
      </c>
      <c r="AM10" t="s">
        <v>68</v>
      </c>
      <c r="AO10" t="s">
        <v>281</v>
      </c>
      <c r="AV10" t="s">
        <v>426</v>
      </c>
    </row>
    <row r="11" spans="1:49" x14ac:dyDescent="0.25">
      <c r="B11" s="1" t="s">
        <v>92</v>
      </c>
      <c r="C11" s="1" t="s">
        <v>490</v>
      </c>
      <c r="D11" s="1" t="s">
        <v>491</v>
      </c>
      <c r="E11" s="1" t="s">
        <v>92</v>
      </c>
      <c r="F11" t="s">
        <v>121</v>
      </c>
      <c r="G11" t="s">
        <v>503</v>
      </c>
      <c r="H11" s="3" t="s">
        <v>58</v>
      </c>
      <c r="I11" s="1" t="s">
        <v>92</v>
      </c>
      <c r="J11" s="1" t="s">
        <v>59</v>
      </c>
      <c r="K11" s="1" t="s">
        <v>92</v>
      </c>
      <c r="L11" s="1" t="s">
        <v>126</v>
      </c>
      <c r="Q11" s="1" t="s">
        <v>276</v>
      </c>
      <c r="S11" s="1" t="s">
        <v>63</v>
      </c>
      <c r="T11" s="1" t="s">
        <v>63</v>
      </c>
      <c r="U11" s="1" t="s">
        <v>59</v>
      </c>
      <c r="V11" s="1" t="s">
        <v>493</v>
      </c>
      <c r="Y11" s="1" t="s">
        <v>494</v>
      </c>
      <c r="Z11" s="1" t="str">
        <f t="shared" si="0"/>
        <v>Elbow 90 deg DN90 SW CL3000 CS ASTM A105N Dims to ASME B16.11</v>
      </c>
      <c r="AA11" s="1" t="s">
        <v>66</v>
      </c>
      <c r="AG11" t="s">
        <v>495</v>
      </c>
      <c r="AM11" t="s">
        <v>68</v>
      </c>
      <c r="AO11" t="s">
        <v>281</v>
      </c>
      <c r="AV11" t="s">
        <v>426</v>
      </c>
    </row>
    <row r="12" spans="1:49" x14ac:dyDescent="0.25">
      <c r="B12" s="1" t="s">
        <v>94</v>
      </c>
      <c r="C12" s="1" t="s">
        <v>490</v>
      </c>
      <c r="D12" s="1" t="s">
        <v>491</v>
      </c>
      <c r="E12" s="1" t="s">
        <v>94</v>
      </c>
      <c r="F12" t="s">
        <v>121</v>
      </c>
      <c r="G12" t="s">
        <v>504</v>
      </c>
      <c r="H12" s="3" t="s">
        <v>58</v>
      </c>
      <c r="I12" s="1" t="s">
        <v>94</v>
      </c>
      <c r="J12" s="1" t="s">
        <v>59</v>
      </c>
      <c r="K12" s="1" t="s">
        <v>96</v>
      </c>
      <c r="L12" s="1" t="s">
        <v>126</v>
      </c>
      <c r="Q12" s="1" t="s">
        <v>276</v>
      </c>
      <c r="S12" s="1" t="s">
        <v>63</v>
      </c>
      <c r="T12" s="1" t="s">
        <v>63</v>
      </c>
      <c r="U12" s="1" t="s">
        <v>59</v>
      </c>
      <c r="V12" s="1" t="s">
        <v>493</v>
      </c>
      <c r="Y12" s="1" t="s">
        <v>494</v>
      </c>
      <c r="Z12" s="1" t="str">
        <f t="shared" si="0"/>
        <v>Elbow 90 deg DN100 SW CL3000 CS ASTM A105N Dims to ASME B16.11</v>
      </c>
      <c r="AA12" s="1" t="s">
        <v>66</v>
      </c>
      <c r="AG12" t="s">
        <v>495</v>
      </c>
      <c r="AM12" t="s">
        <v>68</v>
      </c>
      <c r="AO12" t="s">
        <v>281</v>
      </c>
      <c r="AV12" t="s">
        <v>426</v>
      </c>
    </row>
    <row r="13" spans="1:49" x14ac:dyDescent="0.25">
      <c r="B13" s="1" t="s">
        <v>97</v>
      </c>
      <c r="C13" s="1" t="s">
        <v>490</v>
      </c>
      <c r="D13" s="1" t="s">
        <v>491</v>
      </c>
      <c r="E13" s="1" t="s">
        <v>97</v>
      </c>
      <c r="F13" t="s">
        <v>121</v>
      </c>
      <c r="G13" t="s">
        <v>505</v>
      </c>
      <c r="H13" s="3" t="s">
        <v>58</v>
      </c>
      <c r="I13" s="1" t="s">
        <v>97</v>
      </c>
      <c r="J13" s="1" t="s">
        <v>59</v>
      </c>
      <c r="K13" s="1" t="s">
        <v>97</v>
      </c>
      <c r="L13" s="1" t="s">
        <v>126</v>
      </c>
      <c r="Q13" s="1" t="s">
        <v>276</v>
      </c>
      <c r="S13" s="1" t="s">
        <v>63</v>
      </c>
      <c r="T13" s="1" t="s">
        <v>63</v>
      </c>
      <c r="U13" s="1" t="s">
        <v>59</v>
      </c>
      <c r="V13" s="1" t="s">
        <v>493</v>
      </c>
      <c r="Y13" s="1" t="s">
        <v>494</v>
      </c>
      <c r="Z13" s="1" t="str">
        <f t="shared" si="0"/>
        <v>Elbow 90 deg DN125 SW CL3000 CS ASTM A105N Dims to ASME B16.11</v>
      </c>
      <c r="AA13" s="1" t="s">
        <v>66</v>
      </c>
      <c r="AG13" t="s">
        <v>495</v>
      </c>
      <c r="AM13" t="s">
        <v>68</v>
      </c>
      <c r="AO13" t="s">
        <v>281</v>
      </c>
      <c r="AV13" t="s">
        <v>426</v>
      </c>
    </row>
    <row r="14" spans="1:49" x14ac:dyDescent="0.25">
      <c r="B14" s="1" t="s">
        <v>99</v>
      </c>
      <c r="C14" s="1" t="s">
        <v>490</v>
      </c>
      <c r="D14" s="1" t="s">
        <v>491</v>
      </c>
      <c r="E14" s="1" t="s">
        <v>99</v>
      </c>
      <c r="F14" t="s">
        <v>121</v>
      </c>
      <c r="G14" t="s">
        <v>506</v>
      </c>
      <c r="H14" s="3" t="s">
        <v>58</v>
      </c>
      <c r="I14" s="1" t="s">
        <v>99</v>
      </c>
      <c r="J14" s="1" t="s">
        <v>59</v>
      </c>
      <c r="K14" s="1" t="s">
        <v>101</v>
      </c>
      <c r="L14" s="1" t="s">
        <v>126</v>
      </c>
      <c r="Q14" s="1" t="s">
        <v>276</v>
      </c>
      <c r="S14" s="1" t="s">
        <v>63</v>
      </c>
      <c r="T14" s="1" t="s">
        <v>63</v>
      </c>
      <c r="U14" s="1" t="s">
        <v>59</v>
      </c>
      <c r="V14" s="1" t="s">
        <v>493</v>
      </c>
      <c r="Y14" s="1" t="s">
        <v>494</v>
      </c>
      <c r="Z14" s="1" t="str">
        <f t="shared" si="0"/>
        <v>Elbow 90 deg DN150 SW CL3000 CS ASTM A105N Dims to ASME B16.11</v>
      </c>
      <c r="AA14" s="1" t="s">
        <v>66</v>
      </c>
      <c r="AG14" t="s">
        <v>495</v>
      </c>
      <c r="AM14" t="s">
        <v>68</v>
      </c>
      <c r="AO14" t="s">
        <v>281</v>
      </c>
      <c r="AV14" t="s">
        <v>426</v>
      </c>
    </row>
    <row r="15" spans="1:49" x14ac:dyDescent="0.25">
      <c r="B15" s="1" t="s">
        <v>102</v>
      </c>
      <c r="C15" s="1" t="s">
        <v>490</v>
      </c>
      <c r="D15" s="1" t="s">
        <v>491</v>
      </c>
      <c r="E15" s="1" t="s">
        <v>102</v>
      </c>
      <c r="F15" t="s">
        <v>121</v>
      </c>
      <c r="G15" t="s">
        <v>507</v>
      </c>
      <c r="H15" s="3" t="s">
        <v>58</v>
      </c>
      <c r="I15" s="1" t="s">
        <v>102</v>
      </c>
      <c r="J15" s="1" t="s">
        <v>59</v>
      </c>
      <c r="K15" s="1" t="s">
        <v>104</v>
      </c>
      <c r="L15" s="1" t="s">
        <v>126</v>
      </c>
      <c r="Q15" s="1" t="s">
        <v>276</v>
      </c>
      <c r="S15" s="1" t="s">
        <v>63</v>
      </c>
      <c r="T15" s="1" t="s">
        <v>63</v>
      </c>
      <c r="U15" s="1" t="s">
        <v>59</v>
      </c>
      <c r="V15" s="1" t="s">
        <v>493</v>
      </c>
      <c r="Y15" s="1" t="s">
        <v>494</v>
      </c>
      <c r="Z15" s="1" t="str">
        <f t="shared" si="0"/>
        <v>Elbow 90 deg DN200 SW CL3000 CS ASTM A105N Dims to ASME B16.11</v>
      </c>
      <c r="AA15" s="1" t="s">
        <v>66</v>
      </c>
      <c r="AG15" t="s">
        <v>495</v>
      </c>
      <c r="AM15" t="s">
        <v>68</v>
      </c>
      <c r="AO15" t="s">
        <v>281</v>
      </c>
      <c r="AV15" t="s">
        <v>426</v>
      </c>
    </row>
    <row r="16" spans="1:49" x14ac:dyDescent="0.25">
      <c r="B16" s="1" t="s">
        <v>105</v>
      </c>
      <c r="C16" s="1" t="s">
        <v>490</v>
      </c>
      <c r="D16" s="1" t="s">
        <v>491</v>
      </c>
      <c r="E16" s="1" t="s">
        <v>105</v>
      </c>
      <c r="F16" t="s">
        <v>121</v>
      </c>
      <c r="G16" t="s">
        <v>508</v>
      </c>
      <c r="H16" s="3" t="s">
        <v>58</v>
      </c>
      <c r="I16" s="1" t="s">
        <v>105</v>
      </c>
      <c r="J16" s="1" t="s">
        <v>59</v>
      </c>
      <c r="K16" s="1" t="s">
        <v>107</v>
      </c>
      <c r="L16" s="1" t="s">
        <v>126</v>
      </c>
      <c r="Q16" s="1" t="s">
        <v>276</v>
      </c>
      <c r="S16" s="1" t="s">
        <v>63</v>
      </c>
      <c r="T16" s="1" t="s">
        <v>63</v>
      </c>
      <c r="U16" s="1" t="s">
        <v>59</v>
      </c>
      <c r="V16" s="1" t="s">
        <v>493</v>
      </c>
      <c r="Y16" s="1" t="s">
        <v>494</v>
      </c>
      <c r="Z16" s="1" t="str">
        <f t="shared" si="0"/>
        <v>Elbow 90 deg DN250 SW CL3000 CS ASTM A105N Dims to ASME B16.11</v>
      </c>
      <c r="AA16" s="1" t="s">
        <v>66</v>
      </c>
      <c r="AG16" t="s">
        <v>495</v>
      </c>
      <c r="AM16" t="s">
        <v>68</v>
      </c>
      <c r="AO16" t="s">
        <v>281</v>
      </c>
      <c r="AV16" t="s">
        <v>426</v>
      </c>
    </row>
    <row r="17" spans="2:48" x14ac:dyDescent="0.25">
      <c r="B17" s="1" t="s">
        <v>108</v>
      </c>
      <c r="C17" s="1" t="s">
        <v>490</v>
      </c>
      <c r="D17" s="1" t="s">
        <v>491</v>
      </c>
      <c r="E17" s="1" t="s">
        <v>108</v>
      </c>
      <c r="F17" t="s">
        <v>121</v>
      </c>
      <c r="G17" t="s">
        <v>509</v>
      </c>
      <c r="H17" s="3" t="s">
        <v>58</v>
      </c>
      <c r="I17" s="1" t="s">
        <v>108</v>
      </c>
      <c r="J17" s="1" t="s">
        <v>59</v>
      </c>
      <c r="K17" s="1" t="s">
        <v>110</v>
      </c>
      <c r="L17" s="1" t="s">
        <v>126</v>
      </c>
      <c r="Q17" s="1" t="s">
        <v>276</v>
      </c>
      <c r="S17" s="1" t="s">
        <v>63</v>
      </c>
      <c r="T17" s="1" t="s">
        <v>63</v>
      </c>
      <c r="U17" s="1" t="s">
        <v>59</v>
      </c>
      <c r="V17" s="1" t="s">
        <v>493</v>
      </c>
      <c r="Y17" s="1" t="s">
        <v>494</v>
      </c>
      <c r="Z17" s="1" t="str">
        <f t="shared" si="0"/>
        <v>Elbow 90 deg DN300 SW CL3000 CS ASTM A105N Dims to ASME B16.11</v>
      </c>
      <c r="AA17" s="1" t="s">
        <v>66</v>
      </c>
      <c r="AG17" t="s">
        <v>495</v>
      </c>
      <c r="AM17" t="s">
        <v>68</v>
      </c>
      <c r="AO17" t="s">
        <v>281</v>
      </c>
      <c r="AV17" t="s">
        <v>426</v>
      </c>
    </row>
    <row r="18" spans="2:48" x14ac:dyDescent="0.25">
      <c r="B18" s="1" t="s">
        <v>111</v>
      </c>
      <c r="C18" s="1" t="s">
        <v>490</v>
      </c>
      <c r="D18" s="1" t="s">
        <v>491</v>
      </c>
      <c r="E18" s="1" t="s">
        <v>111</v>
      </c>
      <c r="F18" t="s">
        <v>121</v>
      </c>
      <c r="G18" t="s">
        <v>510</v>
      </c>
      <c r="H18" s="3" t="s">
        <v>58</v>
      </c>
      <c r="I18" s="1" t="s">
        <v>111</v>
      </c>
      <c r="J18" s="1" t="s">
        <v>59</v>
      </c>
      <c r="K18" s="1" t="s">
        <v>113</v>
      </c>
      <c r="L18" s="1" t="s">
        <v>126</v>
      </c>
      <c r="Q18" s="1" t="s">
        <v>276</v>
      </c>
      <c r="S18" s="1" t="s">
        <v>63</v>
      </c>
      <c r="T18" s="1" t="s">
        <v>63</v>
      </c>
      <c r="U18" s="1" t="s">
        <v>59</v>
      </c>
      <c r="V18" s="1" t="s">
        <v>493</v>
      </c>
      <c r="Y18" s="1" t="s">
        <v>494</v>
      </c>
      <c r="Z18" s="1" t="str">
        <f t="shared" si="0"/>
        <v>Elbow 90 deg DN350 SW CL3000 CS ASTM A105N Dims to ASME B16.11</v>
      </c>
      <c r="AA18" s="1" t="s">
        <v>66</v>
      </c>
      <c r="AG18" t="s">
        <v>495</v>
      </c>
      <c r="AM18" t="s">
        <v>68</v>
      </c>
      <c r="AO18" t="s">
        <v>281</v>
      </c>
      <c r="AV18" t="s">
        <v>426</v>
      </c>
    </row>
    <row r="19" spans="2:48" x14ac:dyDescent="0.25">
      <c r="B19" s="1" t="s">
        <v>114</v>
      </c>
      <c r="C19" s="1" t="s">
        <v>490</v>
      </c>
      <c r="D19" s="1" t="s">
        <v>491</v>
      </c>
      <c r="E19" s="1" t="s">
        <v>114</v>
      </c>
      <c r="F19" t="s">
        <v>121</v>
      </c>
      <c r="G19" t="s">
        <v>511</v>
      </c>
      <c r="H19" s="3" t="s">
        <v>58</v>
      </c>
      <c r="I19" s="1" t="s">
        <v>114</v>
      </c>
      <c r="J19" s="1" t="s">
        <v>59</v>
      </c>
      <c r="K19" s="1" t="s">
        <v>116</v>
      </c>
      <c r="L19" s="1" t="s">
        <v>126</v>
      </c>
      <c r="Q19" s="1" t="s">
        <v>276</v>
      </c>
      <c r="S19" s="1" t="s">
        <v>63</v>
      </c>
      <c r="T19" s="1" t="s">
        <v>63</v>
      </c>
      <c r="U19" s="1" t="s">
        <v>59</v>
      </c>
      <c r="V19" s="1" t="s">
        <v>493</v>
      </c>
      <c r="Y19" s="1" t="s">
        <v>494</v>
      </c>
      <c r="Z19" s="1" t="str">
        <f t="shared" si="0"/>
        <v>Elbow 90 deg DN400 SW CL3000 CS ASTM A105N Dims to ASME B16.11</v>
      </c>
      <c r="AA19" s="1" t="s">
        <v>66</v>
      </c>
      <c r="AG19" t="s">
        <v>495</v>
      </c>
      <c r="AM19" t="s">
        <v>68</v>
      </c>
      <c r="AO19" t="s">
        <v>281</v>
      </c>
      <c r="AV19" t="s">
        <v>426</v>
      </c>
    </row>
    <row r="20" spans="2:48" x14ac:dyDescent="0.25">
      <c r="B20" s="1" t="s">
        <v>117</v>
      </c>
      <c r="C20" s="1" t="s">
        <v>490</v>
      </c>
      <c r="D20" s="1" t="s">
        <v>491</v>
      </c>
      <c r="E20" s="1" t="s">
        <v>117</v>
      </c>
      <c r="F20" t="s">
        <v>121</v>
      </c>
      <c r="G20" t="s">
        <v>512</v>
      </c>
      <c r="H20" s="3" t="s">
        <v>58</v>
      </c>
      <c r="I20" s="1" t="s">
        <v>117</v>
      </c>
      <c r="J20" s="1" t="s">
        <v>59</v>
      </c>
      <c r="K20" s="1" t="s">
        <v>119</v>
      </c>
      <c r="L20" s="1" t="s">
        <v>126</v>
      </c>
      <c r="Q20" s="1" t="s">
        <v>276</v>
      </c>
      <c r="S20" s="1" t="s">
        <v>63</v>
      </c>
      <c r="T20" s="1" t="s">
        <v>63</v>
      </c>
      <c r="U20" s="1" t="s">
        <v>59</v>
      </c>
      <c r="V20" s="1" t="s">
        <v>493</v>
      </c>
      <c r="Y20" s="1" t="s">
        <v>494</v>
      </c>
      <c r="Z20" s="1" t="str">
        <f t="shared" si="0"/>
        <v>Elbow 90 deg DN450 SW CL3000 CS ASTM A105N Dims to ASME B16.11</v>
      </c>
      <c r="AA20" s="1" t="s">
        <v>66</v>
      </c>
      <c r="AG20" t="s">
        <v>495</v>
      </c>
      <c r="AM20" t="s">
        <v>68</v>
      </c>
      <c r="AO20" t="s">
        <v>281</v>
      </c>
      <c r="AV20" t="s">
        <v>426</v>
      </c>
    </row>
  </sheetData>
  <sheetProtection formatCells="0" formatColumns="0" insertColumns="0" deleteColumns="0"/>
  <dataValidations count="2">
    <dataValidation type="list" allowBlank="1" showInputMessage="1" showErrorMessage="1" sqref="AD3:AD20" xr:uid="{00000000-0002-0000-0D00-000000000000}">
      <formula1>"LB,KG"</formula1>
    </dataValidation>
    <dataValidation type="decimal" allowBlank="1" showInputMessage="1" showErrorMessage="1" sqref="AS3:AU20 AM3:AM20 AI3:AI20 AC3:AC20 S3:T20 P3:P20 K3:K20 I3:I20" xr:uid="{00000000-0002-0000-0D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20"/>
  <sheetViews>
    <sheetView topLeftCell="T2" workbookViewId="0">
      <selection activeCell="Z4" sqref="Z4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29.85546875" style="1" bestFit="1" customWidth="1"/>
    <col min="4" max="4" width="118" style="1" bestFit="1" customWidth="1"/>
    <col min="5" max="5" width="3.7109375" style="1" bestFit="1" customWidth="1"/>
    <col min="6" max="6" width="32.42578125" bestFit="1" customWidth="1"/>
    <col min="7" max="7" width="38.140625" bestFit="1" customWidth="1"/>
    <col min="8" max="8" width="15.85546875" style="1" bestFit="1" customWidth="1"/>
    <col min="9" max="9" width="23" style="1" bestFit="1" customWidth="1"/>
    <col min="10" max="10" width="18.42578125" style="1" bestFit="1" customWidth="1"/>
    <col min="11" max="11" width="22" style="1" bestFit="1" customWidth="1"/>
    <col min="12" max="12" width="14.42578125" style="1" bestFit="1" customWidth="1"/>
    <col min="13" max="13" width="15.5703125" style="1" bestFit="1" customWidth="1"/>
    <col min="14" max="14" width="15.85546875" style="1" bestFit="1" customWidth="1"/>
    <col min="15" max="15" width="12.28515625" style="1" bestFit="1" customWidth="1"/>
    <col min="16" max="16" width="21.5703125" style="1" bestFit="1" customWidth="1"/>
    <col min="17" max="17" width="19.140625" style="1" bestFit="1" customWidth="1"/>
    <col min="18" max="18" width="15" style="1" bestFit="1" customWidth="1"/>
    <col min="19" max="19" width="19.7109375" style="1" bestFit="1" customWidth="1"/>
    <col min="20" max="20" width="24.140625" style="1" bestFit="1" customWidth="1"/>
    <col min="21" max="21" width="16.7109375" style="1" bestFit="1" customWidth="1"/>
    <col min="22" max="22" width="24.140625" style="1" bestFit="1" customWidth="1"/>
    <col min="23" max="23" width="19.42578125" style="1" bestFit="1" customWidth="1"/>
    <col min="24" max="24" width="9.85546875" style="1" bestFit="1" customWidth="1"/>
    <col min="25" max="25" width="64.140625" style="1" bestFit="1" customWidth="1"/>
    <col min="26" max="26" width="69.42578125" style="1" bestFit="1" customWidth="1"/>
    <col min="27" max="27" width="8.5703125" style="1" bestFit="1" customWidth="1"/>
    <col min="28" max="28" width="13.28515625" style="1" bestFit="1" customWidth="1"/>
    <col min="29" max="29" width="7.5703125" style="1" bestFit="1" customWidth="1"/>
    <col min="30" max="30" width="11.42578125" style="1" bestFit="1" customWidth="1"/>
    <col min="31" max="32" width="5.28515625" style="1" bestFit="1" customWidth="1"/>
    <col min="33" max="33" width="37.28515625" bestFit="1" customWidth="1"/>
    <col min="34" max="34" width="19" bestFit="1" customWidth="1"/>
    <col min="35" max="35" width="10" bestFit="1" customWidth="1"/>
    <col min="36" max="36" width="13.28515625" style="1" bestFit="1" customWidth="1"/>
    <col min="37" max="37" width="9.7109375" style="1" bestFit="1" customWidth="1"/>
    <col min="38" max="38" width="20.42578125" style="1" bestFit="1" customWidth="1"/>
    <col min="39" max="39" width="20.42578125" bestFit="1" customWidth="1"/>
    <col min="40" max="40" width="22.42578125" style="1" bestFit="1" customWidth="1"/>
    <col min="41" max="41" width="12.42578125" bestFit="1" customWidth="1"/>
    <col min="42" max="42" width="26.85546875" bestFit="1" customWidth="1"/>
    <col min="43" max="43" width="11.42578125" bestFit="1" customWidth="1"/>
    <col min="44" max="44" width="6.42578125" style="1" bestFit="1" customWidth="1"/>
    <col min="45" max="45" width="10.140625" style="1" bestFit="1" customWidth="1"/>
    <col min="46" max="46" width="12" style="1" bestFit="1" customWidth="1"/>
    <col min="47" max="47" width="14.28515625" style="1" bestFit="1" customWidth="1"/>
    <col min="48" max="48" width="14.28515625" bestFit="1" customWidth="1"/>
    <col min="49" max="49" width="22.7109375" bestFit="1" customWidth="1"/>
    <col min="50" max="50" width="9.140625" customWidth="1"/>
  </cols>
  <sheetData>
    <row r="1" spans="1:49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t="s">
        <v>6</v>
      </c>
      <c r="G1" t="s">
        <v>7</v>
      </c>
      <c r="H1" s="3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t="s">
        <v>33</v>
      </c>
      <c r="AH1" t="s">
        <v>34</v>
      </c>
      <c r="AI1" t="s">
        <v>35</v>
      </c>
      <c r="AJ1" s="1" t="s">
        <v>36</v>
      </c>
      <c r="AK1" s="1" t="s">
        <v>37</v>
      </c>
      <c r="AL1" s="1" t="s">
        <v>38</v>
      </c>
      <c r="AM1" t="s">
        <v>39</v>
      </c>
      <c r="AN1" s="1" t="s">
        <v>40</v>
      </c>
      <c r="AO1" t="s">
        <v>41</v>
      </c>
      <c r="AP1" t="s">
        <v>42</v>
      </c>
      <c r="AQ1" t="s">
        <v>43</v>
      </c>
      <c r="AR1" s="1" t="s">
        <v>44</v>
      </c>
      <c r="AS1" s="1" t="s">
        <v>416</v>
      </c>
      <c r="AT1" s="1" t="s">
        <v>417</v>
      </c>
      <c r="AU1" s="1" t="s">
        <v>418</v>
      </c>
      <c r="AV1" t="s">
        <v>50</v>
      </c>
      <c r="AW1" t="s">
        <v>51</v>
      </c>
    </row>
    <row r="2" spans="1:49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416</v>
      </c>
      <c r="AT2" s="2" t="s">
        <v>417</v>
      </c>
      <c r="AU2" s="2" t="s">
        <v>418</v>
      </c>
      <c r="AV2" s="2" t="s">
        <v>50</v>
      </c>
      <c r="AW2" s="2" t="s">
        <v>51</v>
      </c>
    </row>
    <row r="3" spans="1:49" x14ac:dyDescent="0.25">
      <c r="B3" s="1" t="s">
        <v>54</v>
      </c>
      <c r="C3" s="1" t="s">
        <v>513</v>
      </c>
      <c r="D3" s="1" t="s">
        <v>514</v>
      </c>
      <c r="E3" s="1" t="s">
        <v>54</v>
      </c>
      <c r="F3" t="s">
        <v>121</v>
      </c>
      <c r="G3" t="s">
        <v>515</v>
      </c>
      <c r="H3" s="3" t="s">
        <v>58</v>
      </c>
      <c r="I3" s="1" t="s">
        <v>54</v>
      </c>
      <c r="J3" s="1" t="s">
        <v>59</v>
      </c>
      <c r="K3" s="1" t="s">
        <v>60</v>
      </c>
      <c r="L3" s="1" t="s">
        <v>61</v>
      </c>
      <c r="R3" s="1" t="s">
        <v>62</v>
      </c>
      <c r="S3" s="1" t="s">
        <v>63</v>
      </c>
      <c r="T3" s="1" t="s">
        <v>63</v>
      </c>
      <c r="U3" s="1" t="s">
        <v>59</v>
      </c>
      <c r="V3" s="1" t="s">
        <v>516</v>
      </c>
      <c r="Y3" s="1" t="s">
        <v>517</v>
      </c>
      <c r="Z3" s="1" t="str">
        <f>REPLACE(Y3, 13, 0, " DN" &amp; E3)</f>
        <v>Elbow 90 deg DN15 LR BW. Welded CS ASTM A234-WPB. Dims to ASME B16.9</v>
      </c>
      <c r="AA3" s="1" t="s">
        <v>66</v>
      </c>
      <c r="AG3" t="s">
        <v>518</v>
      </c>
      <c r="AM3" t="s">
        <v>68</v>
      </c>
      <c r="AO3" t="s">
        <v>281</v>
      </c>
      <c r="AV3" t="s">
        <v>426</v>
      </c>
    </row>
    <row r="4" spans="1:49" x14ac:dyDescent="0.25">
      <c r="B4" s="1" t="s">
        <v>71</v>
      </c>
      <c r="C4" s="1" t="s">
        <v>513</v>
      </c>
      <c r="D4" s="1" t="s">
        <v>514</v>
      </c>
      <c r="E4" s="1" t="s">
        <v>71</v>
      </c>
      <c r="F4" t="s">
        <v>121</v>
      </c>
      <c r="G4" t="s">
        <v>519</v>
      </c>
      <c r="H4" s="3" t="s">
        <v>58</v>
      </c>
      <c r="I4" s="1" t="s">
        <v>71</v>
      </c>
      <c r="J4" s="1" t="s">
        <v>59</v>
      </c>
      <c r="K4" s="1" t="s">
        <v>73</v>
      </c>
      <c r="L4" s="1" t="s">
        <v>61</v>
      </c>
      <c r="R4" s="1" t="s">
        <v>62</v>
      </c>
      <c r="S4" s="1" t="s">
        <v>63</v>
      </c>
      <c r="T4" s="1" t="s">
        <v>63</v>
      </c>
      <c r="U4" s="1" t="s">
        <v>59</v>
      </c>
      <c r="V4" s="1" t="s">
        <v>516</v>
      </c>
      <c r="Y4" s="1" t="s">
        <v>517</v>
      </c>
      <c r="Z4" s="1" t="str">
        <f t="shared" ref="Z4:Z20" si="0">REPLACE(Y4, 13, 0, " DN" &amp; E4)</f>
        <v>Elbow 90 deg DN20 LR BW. Welded CS ASTM A234-WPB. Dims to ASME B16.9</v>
      </c>
      <c r="AA4" s="1" t="s">
        <v>66</v>
      </c>
      <c r="AG4" t="s">
        <v>518</v>
      </c>
      <c r="AM4" t="s">
        <v>68</v>
      </c>
      <c r="AO4" t="s">
        <v>281</v>
      </c>
      <c r="AV4" t="s">
        <v>426</v>
      </c>
    </row>
    <row r="5" spans="1:49" x14ac:dyDescent="0.25">
      <c r="B5" s="1" t="s">
        <v>74</v>
      </c>
      <c r="C5" s="1" t="s">
        <v>513</v>
      </c>
      <c r="D5" s="1" t="s">
        <v>514</v>
      </c>
      <c r="E5" s="1" t="s">
        <v>74</v>
      </c>
      <c r="F5" t="s">
        <v>121</v>
      </c>
      <c r="G5" t="s">
        <v>520</v>
      </c>
      <c r="H5" s="3" t="s">
        <v>58</v>
      </c>
      <c r="I5" s="1" t="s">
        <v>74</v>
      </c>
      <c r="J5" s="1" t="s">
        <v>59</v>
      </c>
      <c r="K5" s="1" t="s">
        <v>76</v>
      </c>
      <c r="L5" s="1" t="s">
        <v>61</v>
      </c>
      <c r="R5" s="1" t="s">
        <v>62</v>
      </c>
      <c r="S5" s="1" t="s">
        <v>63</v>
      </c>
      <c r="T5" s="1" t="s">
        <v>63</v>
      </c>
      <c r="U5" s="1" t="s">
        <v>59</v>
      </c>
      <c r="V5" s="1" t="s">
        <v>516</v>
      </c>
      <c r="Y5" s="1" t="s">
        <v>517</v>
      </c>
      <c r="Z5" s="1" t="str">
        <f t="shared" si="0"/>
        <v>Elbow 90 deg DN25 LR BW. Welded CS ASTM A234-WPB. Dims to ASME B16.9</v>
      </c>
      <c r="AA5" s="1" t="s">
        <v>66</v>
      </c>
      <c r="AG5" t="s">
        <v>518</v>
      </c>
      <c r="AM5" t="s">
        <v>68</v>
      </c>
      <c r="AO5" t="s">
        <v>281</v>
      </c>
      <c r="AV5" t="s">
        <v>426</v>
      </c>
    </row>
    <row r="6" spans="1:49" x14ac:dyDescent="0.25">
      <c r="B6" s="1" t="s">
        <v>77</v>
      </c>
      <c r="C6" s="1" t="s">
        <v>513</v>
      </c>
      <c r="D6" s="1" t="s">
        <v>514</v>
      </c>
      <c r="E6" s="1" t="s">
        <v>77</v>
      </c>
      <c r="F6" t="s">
        <v>121</v>
      </c>
      <c r="G6" t="s">
        <v>521</v>
      </c>
      <c r="H6" s="3" t="s">
        <v>58</v>
      </c>
      <c r="I6" s="1" t="s">
        <v>77</v>
      </c>
      <c r="J6" s="1" t="s">
        <v>59</v>
      </c>
      <c r="K6" s="1" t="s">
        <v>79</v>
      </c>
      <c r="L6" s="1" t="s">
        <v>61</v>
      </c>
      <c r="R6" s="1" t="s">
        <v>62</v>
      </c>
      <c r="S6" s="1" t="s">
        <v>63</v>
      </c>
      <c r="T6" s="1" t="s">
        <v>63</v>
      </c>
      <c r="U6" s="1" t="s">
        <v>59</v>
      </c>
      <c r="V6" s="1" t="s">
        <v>516</v>
      </c>
      <c r="Y6" s="1" t="s">
        <v>517</v>
      </c>
      <c r="Z6" s="1" t="str">
        <f t="shared" si="0"/>
        <v>Elbow 90 deg DN32 LR BW. Welded CS ASTM A234-WPB. Dims to ASME B16.9</v>
      </c>
      <c r="AA6" s="1" t="s">
        <v>66</v>
      </c>
      <c r="AG6" t="s">
        <v>518</v>
      </c>
      <c r="AM6" t="s">
        <v>68</v>
      </c>
      <c r="AO6" t="s">
        <v>281</v>
      </c>
      <c r="AV6" t="s">
        <v>426</v>
      </c>
    </row>
    <row r="7" spans="1:49" x14ac:dyDescent="0.25">
      <c r="B7" s="1" t="s">
        <v>62</v>
      </c>
      <c r="C7" s="1" t="s">
        <v>513</v>
      </c>
      <c r="D7" s="1" t="s">
        <v>514</v>
      </c>
      <c r="E7" s="1" t="s">
        <v>62</v>
      </c>
      <c r="F7" t="s">
        <v>121</v>
      </c>
      <c r="G7" t="s">
        <v>522</v>
      </c>
      <c r="H7" s="3" t="s">
        <v>58</v>
      </c>
      <c r="I7" s="1" t="s">
        <v>62</v>
      </c>
      <c r="J7" s="1" t="s">
        <v>59</v>
      </c>
      <c r="K7" s="1" t="s">
        <v>82</v>
      </c>
      <c r="L7" s="1" t="s">
        <v>61</v>
      </c>
      <c r="R7" s="1" t="s">
        <v>62</v>
      </c>
      <c r="S7" s="1" t="s">
        <v>63</v>
      </c>
      <c r="T7" s="1" t="s">
        <v>63</v>
      </c>
      <c r="U7" s="1" t="s">
        <v>59</v>
      </c>
      <c r="V7" s="1" t="s">
        <v>516</v>
      </c>
      <c r="Y7" s="1" t="s">
        <v>517</v>
      </c>
      <c r="Z7" s="1" t="str">
        <f t="shared" si="0"/>
        <v>Elbow 90 deg DN40 LR BW. Welded CS ASTM A234-WPB. Dims to ASME B16.9</v>
      </c>
      <c r="AA7" s="1" t="s">
        <v>66</v>
      </c>
      <c r="AG7" t="s">
        <v>518</v>
      </c>
      <c r="AM7" t="s">
        <v>68</v>
      </c>
      <c r="AO7" t="s">
        <v>281</v>
      </c>
      <c r="AV7" t="s">
        <v>426</v>
      </c>
    </row>
    <row r="8" spans="1:49" x14ac:dyDescent="0.25">
      <c r="B8" s="1" t="s">
        <v>83</v>
      </c>
      <c r="C8" s="1" t="s">
        <v>513</v>
      </c>
      <c r="D8" s="1" t="s">
        <v>514</v>
      </c>
      <c r="E8" s="1" t="s">
        <v>83</v>
      </c>
      <c r="F8" t="s">
        <v>121</v>
      </c>
      <c r="G8" t="s">
        <v>523</v>
      </c>
      <c r="H8" s="3" t="s">
        <v>58</v>
      </c>
      <c r="I8" s="1" t="s">
        <v>83</v>
      </c>
      <c r="J8" s="1" t="s">
        <v>59</v>
      </c>
      <c r="K8" s="1" t="s">
        <v>85</v>
      </c>
      <c r="L8" s="1" t="s">
        <v>61</v>
      </c>
      <c r="R8" s="1" t="s">
        <v>62</v>
      </c>
      <c r="S8" s="1" t="s">
        <v>63</v>
      </c>
      <c r="T8" s="1" t="s">
        <v>63</v>
      </c>
      <c r="U8" s="1" t="s">
        <v>59</v>
      </c>
      <c r="V8" s="1" t="s">
        <v>516</v>
      </c>
      <c r="Y8" s="1" t="s">
        <v>517</v>
      </c>
      <c r="Z8" s="1" t="str">
        <f t="shared" si="0"/>
        <v>Elbow 90 deg DN50 LR BW. Welded CS ASTM A234-WPB. Dims to ASME B16.9</v>
      </c>
      <c r="AA8" s="1" t="s">
        <v>66</v>
      </c>
      <c r="AG8" t="s">
        <v>518</v>
      </c>
      <c r="AM8" t="s">
        <v>68</v>
      </c>
      <c r="AO8" t="s">
        <v>281</v>
      </c>
      <c r="AV8" t="s">
        <v>426</v>
      </c>
    </row>
    <row r="9" spans="1:49" x14ac:dyDescent="0.25">
      <c r="B9" s="1" t="s">
        <v>86</v>
      </c>
      <c r="C9" s="1" t="s">
        <v>513</v>
      </c>
      <c r="D9" s="1" t="s">
        <v>514</v>
      </c>
      <c r="E9" s="1" t="s">
        <v>86</v>
      </c>
      <c r="F9" t="s">
        <v>121</v>
      </c>
      <c r="G9" t="s">
        <v>524</v>
      </c>
      <c r="H9" s="3" t="s">
        <v>58</v>
      </c>
      <c r="I9" s="1" t="s">
        <v>86</v>
      </c>
      <c r="J9" s="1" t="s">
        <v>59</v>
      </c>
      <c r="K9" s="1" t="s">
        <v>88</v>
      </c>
      <c r="L9" s="1" t="s">
        <v>61</v>
      </c>
      <c r="R9" s="1" t="s">
        <v>62</v>
      </c>
      <c r="S9" s="1" t="s">
        <v>63</v>
      </c>
      <c r="T9" s="1" t="s">
        <v>63</v>
      </c>
      <c r="U9" s="1" t="s">
        <v>59</v>
      </c>
      <c r="V9" s="1" t="s">
        <v>516</v>
      </c>
      <c r="Y9" s="1" t="s">
        <v>517</v>
      </c>
      <c r="Z9" s="1" t="str">
        <f t="shared" si="0"/>
        <v>Elbow 90 deg DN65 LR BW. Welded CS ASTM A234-WPB. Dims to ASME B16.9</v>
      </c>
      <c r="AA9" s="1" t="s">
        <v>66</v>
      </c>
      <c r="AG9" t="s">
        <v>518</v>
      </c>
      <c r="AM9" t="s">
        <v>68</v>
      </c>
      <c r="AO9" t="s">
        <v>281</v>
      </c>
      <c r="AV9" t="s">
        <v>426</v>
      </c>
    </row>
    <row r="10" spans="1:49" x14ac:dyDescent="0.25">
      <c r="B10" s="1" t="s">
        <v>89</v>
      </c>
      <c r="C10" s="1" t="s">
        <v>513</v>
      </c>
      <c r="D10" s="1" t="s">
        <v>514</v>
      </c>
      <c r="E10" s="1" t="s">
        <v>89</v>
      </c>
      <c r="F10" t="s">
        <v>121</v>
      </c>
      <c r="G10" t="s">
        <v>525</v>
      </c>
      <c r="H10" s="3" t="s">
        <v>58</v>
      </c>
      <c r="I10" s="1" t="s">
        <v>89</v>
      </c>
      <c r="J10" s="1" t="s">
        <v>59</v>
      </c>
      <c r="K10" s="1" t="s">
        <v>91</v>
      </c>
      <c r="L10" s="1" t="s">
        <v>61</v>
      </c>
      <c r="R10" s="1" t="s">
        <v>62</v>
      </c>
      <c r="S10" s="1" t="s">
        <v>63</v>
      </c>
      <c r="T10" s="1" t="s">
        <v>63</v>
      </c>
      <c r="U10" s="1" t="s">
        <v>59</v>
      </c>
      <c r="V10" s="1" t="s">
        <v>516</v>
      </c>
      <c r="Y10" s="1" t="s">
        <v>517</v>
      </c>
      <c r="Z10" s="1" t="str">
        <f t="shared" si="0"/>
        <v>Elbow 90 deg DN80 LR BW. Welded CS ASTM A234-WPB. Dims to ASME B16.9</v>
      </c>
      <c r="AA10" s="1" t="s">
        <v>66</v>
      </c>
      <c r="AG10" t="s">
        <v>518</v>
      </c>
      <c r="AM10" t="s">
        <v>68</v>
      </c>
      <c r="AO10" t="s">
        <v>281</v>
      </c>
      <c r="AV10" t="s">
        <v>426</v>
      </c>
    </row>
    <row r="11" spans="1:49" x14ac:dyDescent="0.25">
      <c r="B11" s="1" t="s">
        <v>92</v>
      </c>
      <c r="C11" s="1" t="s">
        <v>513</v>
      </c>
      <c r="D11" s="1" t="s">
        <v>514</v>
      </c>
      <c r="E11" s="1" t="s">
        <v>92</v>
      </c>
      <c r="F11" t="s">
        <v>121</v>
      </c>
      <c r="G11" t="s">
        <v>526</v>
      </c>
      <c r="H11" s="3" t="s">
        <v>58</v>
      </c>
      <c r="I11" s="1" t="s">
        <v>92</v>
      </c>
      <c r="J11" s="1" t="s">
        <v>59</v>
      </c>
      <c r="K11" s="1" t="s">
        <v>92</v>
      </c>
      <c r="L11" s="1" t="s">
        <v>61</v>
      </c>
      <c r="R11" s="1" t="s">
        <v>62</v>
      </c>
      <c r="S11" s="1" t="s">
        <v>63</v>
      </c>
      <c r="T11" s="1" t="s">
        <v>63</v>
      </c>
      <c r="U11" s="1" t="s">
        <v>59</v>
      </c>
      <c r="V11" s="1" t="s">
        <v>516</v>
      </c>
      <c r="Y11" s="1" t="s">
        <v>517</v>
      </c>
      <c r="Z11" s="1" t="str">
        <f t="shared" si="0"/>
        <v>Elbow 90 deg DN90 LR BW. Welded CS ASTM A234-WPB. Dims to ASME B16.9</v>
      </c>
      <c r="AA11" s="1" t="s">
        <v>66</v>
      </c>
      <c r="AG11" t="s">
        <v>518</v>
      </c>
      <c r="AM11" t="s">
        <v>68</v>
      </c>
      <c r="AO11" t="s">
        <v>281</v>
      </c>
      <c r="AV11" t="s">
        <v>426</v>
      </c>
    </row>
    <row r="12" spans="1:49" x14ac:dyDescent="0.25">
      <c r="B12" s="1" t="s">
        <v>94</v>
      </c>
      <c r="C12" s="1" t="s">
        <v>513</v>
      </c>
      <c r="D12" s="1" t="s">
        <v>514</v>
      </c>
      <c r="E12" s="1" t="s">
        <v>94</v>
      </c>
      <c r="F12" t="s">
        <v>121</v>
      </c>
      <c r="G12" t="s">
        <v>527</v>
      </c>
      <c r="H12" s="3" t="s">
        <v>58</v>
      </c>
      <c r="I12" s="1" t="s">
        <v>94</v>
      </c>
      <c r="J12" s="1" t="s">
        <v>59</v>
      </c>
      <c r="K12" s="1" t="s">
        <v>96</v>
      </c>
      <c r="L12" s="1" t="s">
        <v>61</v>
      </c>
      <c r="R12" s="1" t="s">
        <v>62</v>
      </c>
      <c r="S12" s="1" t="s">
        <v>63</v>
      </c>
      <c r="T12" s="1" t="s">
        <v>63</v>
      </c>
      <c r="U12" s="1" t="s">
        <v>59</v>
      </c>
      <c r="V12" s="1" t="s">
        <v>516</v>
      </c>
      <c r="Y12" s="1" t="s">
        <v>517</v>
      </c>
      <c r="Z12" s="1" t="str">
        <f t="shared" si="0"/>
        <v>Elbow 90 deg DN100 LR BW. Welded CS ASTM A234-WPB. Dims to ASME B16.9</v>
      </c>
      <c r="AA12" s="1" t="s">
        <v>66</v>
      </c>
      <c r="AG12" t="s">
        <v>518</v>
      </c>
      <c r="AM12" t="s">
        <v>68</v>
      </c>
      <c r="AO12" t="s">
        <v>281</v>
      </c>
      <c r="AV12" t="s">
        <v>426</v>
      </c>
    </row>
    <row r="13" spans="1:49" x14ac:dyDescent="0.25">
      <c r="B13" s="1" t="s">
        <v>97</v>
      </c>
      <c r="C13" s="1" t="s">
        <v>513</v>
      </c>
      <c r="D13" s="1" t="s">
        <v>514</v>
      </c>
      <c r="E13" s="1" t="s">
        <v>97</v>
      </c>
      <c r="F13" t="s">
        <v>121</v>
      </c>
      <c r="G13" t="s">
        <v>528</v>
      </c>
      <c r="H13" s="3" t="s">
        <v>58</v>
      </c>
      <c r="I13" s="1" t="s">
        <v>97</v>
      </c>
      <c r="J13" s="1" t="s">
        <v>59</v>
      </c>
      <c r="K13" s="1" t="s">
        <v>97</v>
      </c>
      <c r="L13" s="1" t="s">
        <v>61</v>
      </c>
      <c r="R13" s="1" t="s">
        <v>62</v>
      </c>
      <c r="S13" s="1" t="s">
        <v>63</v>
      </c>
      <c r="T13" s="1" t="s">
        <v>63</v>
      </c>
      <c r="U13" s="1" t="s">
        <v>59</v>
      </c>
      <c r="V13" s="1" t="s">
        <v>516</v>
      </c>
      <c r="Y13" s="1" t="s">
        <v>517</v>
      </c>
      <c r="Z13" s="1" t="str">
        <f t="shared" si="0"/>
        <v>Elbow 90 deg DN125 LR BW. Welded CS ASTM A234-WPB. Dims to ASME B16.9</v>
      </c>
      <c r="AA13" s="1" t="s">
        <v>66</v>
      </c>
      <c r="AG13" t="s">
        <v>518</v>
      </c>
      <c r="AM13" t="s">
        <v>68</v>
      </c>
      <c r="AO13" t="s">
        <v>281</v>
      </c>
      <c r="AV13" t="s">
        <v>426</v>
      </c>
    </row>
    <row r="14" spans="1:49" x14ac:dyDescent="0.25">
      <c r="B14" s="1" t="s">
        <v>99</v>
      </c>
      <c r="C14" s="1" t="s">
        <v>513</v>
      </c>
      <c r="D14" s="1" t="s">
        <v>514</v>
      </c>
      <c r="E14" s="1" t="s">
        <v>99</v>
      </c>
      <c r="F14" t="s">
        <v>121</v>
      </c>
      <c r="G14" t="s">
        <v>529</v>
      </c>
      <c r="H14" s="3" t="s">
        <v>58</v>
      </c>
      <c r="I14" s="1" t="s">
        <v>99</v>
      </c>
      <c r="J14" s="1" t="s">
        <v>59</v>
      </c>
      <c r="K14" s="1" t="s">
        <v>101</v>
      </c>
      <c r="L14" s="1" t="s">
        <v>61</v>
      </c>
      <c r="R14" s="1" t="s">
        <v>62</v>
      </c>
      <c r="S14" s="1" t="s">
        <v>63</v>
      </c>
      <c r="T14" s="1" t="s">
        <v>63</v>
      </c>
      <c r="U14" s="1" t="s">
        <v>59</v>
      </c>
      <c r="V14" s="1" t="s">
        <v>516</v>
      </c>
      <c r="Y14" s="1" t="s">
        <v>517</v>
      </c>
      <c r="Z14" s="1" t="str">
        <f t="shared" si="0"/>
        <v>Elbow 90 deg DN150 LR BW. Welded CS ASTM A234-WPB. Dims to ASME B16.9</v>
      </c>
      <c r="AA14" s="1" t="s">
        <v>66</v>
      </c>
      <c r="AG14" t="s">
        <v>518</v>
      </c>
      <c r="AM14" t="s">
        <v>68</v>
      </c>
      <c r="AO14" t="s">
        <v>281</v>
      </c>
      <c r="AV14" t="s">
        <v>426</v>
      </c>
    </row>
    <row r="15" spans="1:49" x14ac:dyDescent="0.25">
      <c r="B15" s="1" t="s">
        <v>102</v>
      </c>
      <c r="C15" s="1" t="s">
        <v>513</v>
      </c>
      <c r="D15" s="1" t="s">
        <v>514</v>
      </c>
      <c r="E15" s="1" t="s">
        <v>102</v>
      </c>
      <c r="F15" t="s">
        <v>121</v>
      </c>
      <c r="G15" t="s">
        <v>530</v>
      </c>
      <c r="H15" s="3" t="s">
        <v>58</v>
      </c>
      <c r="I15" s="1" t="s">
        <v>102</v>
      </c>
      <c r="J15" s="1" t="s">
        <v>59</v>
      </c>
      <c r="K15" s="1" t="s">
        <v>104</v>
      </c>
      <c r="L15" s="1" t="s">
        <v>61</v>
      </c>
      <c r="R15" s="1" t="s">
        <v>62</v>
      </c>
      <c r="S15" s="1" t="s">
        <v>63</v>
      </c>
      <c r="T15" s="1" t="s">
        <v>63</v>
      </c>
      <c r="U15" s="1" t="s">
        <v>59</v>
      </c>
      <c r="V15" s="1" t="s">
        <v>516</v>
      </c>
      <c r="Y15" s="1" t="s">
        <v>517</v>
      </c>
      <c r="Z15" s="1" t="str">
        <f t="shared" si="0"/>
        <v>Elbow 90 deg DN200 LR BW. Welded CS ASTM A234-WPB. Dims to ASME B16.9</v>
      </c>
      <c r="AA15" s="1" t="s">
        <v>66</v>
      </c>
      <c r="AG15" t="s">
        <v>518</v>
      </c>
      <c r="AM15" t="s">
        <v>68</v>
      </c>
      <c r="AO15" t="s">
        <v>281</v>
      </c>
      <c r="AV15" t="s">
        <v>426</v>
      </c>
    </row>
    <row r="16" spans="1:49" x14ac:dyDescent="0.25">
      <c r="B16" s="1" t="s">
        <v>105</v>
      </c>
      <c r="C16" s="1" t="s">
        <v>513</v>
      </c>
      <c r="D16" s="1" t="s">
        <v>514</v>
      </c>
      <c r="E16" s="1" t="s">
        <v>105</v>
      </c>
      <c r="F16" t="s">
        <v>121</v>
      </c>
      <c r="G16" t="s">
        <v>531</v>
      </c>
      <c r="H16" s="3" t="s">
        <v>58</v>
      </c>
      <c r="I16" s="1" t="s">
        <v>105</v>
      </c>
      <c r="J16" s="1" t="s">
        <v>59</v>
      </c>
      <c r="K16" s="1" t="s">
        <v>107</v>
      </c>
      <c r="L16" s="1" t="s">
        <v>61</v>
      </c>
      <c r="R16" s="1" t="s">
        <v>62</v>
      </c>
      <c r="S16" s="1" t="s">
        <v>63</v>
      </c>
      <c r="T16" s="1" t="s">
        <v>63</v>
      </c>
      <c r="U16" s="1" t="s">
        <v>59</v>
      </c>
      <c r="V16" s="1" t="s">
        <v>516</v>
      </c>
      <c r="Y16" s="1" t="s">
        <v>517</v>
      </c>
      <c r="Z16" s="1" t="str">
        <f t="shared" si="0"/>
        <v>Elbow 90 deg DN250 LR BW. Welded CS ASTM A234-WPB. Dims to ASME B16.9</v>
      </c>
      <c r="AA16" s="1" t="s">
        <v>66</v>
      </c>
      <c r="AG16" t="s">
        <v>518</v>
      </c>
      <c r="AM16" t="s">
        <v>68</v>
      </c>
      <c r="AO16" t="s">
        <v>281</v>
      </c>
      <c r="AV16" t="s">
        <v>426</v>
      </c>
    </row>
    <row r="17" spans="2:48" x14ac:dyDescent="0.25">
      <c r="B17" s="1" t="s">
        <v>108</v>
      </c>
      <c r="C17" s="1" t="s">
        <v>513</v>
      </c>
      <c r="D17" s="1" t="s">
        <v>514</v>
      </c>
      <c r="E17" s="1" t="s">
        <v>108</v>
      </c>
      <c r="F17" t="s">
        <v>121</v>
      </c>
      <c r="G17" t="s">
        <v>532</v>
      </c>
      <c r="H17" s="3" t="s">
        <v>58</v>
      </c>
      <c r="I17" s="1" t="s">
        <v>108</v>
      </c>
      <c r="J17" s="1" t="s">
        <v>59</v>
      </c>
      <c r="K17" s="1" t="s">
        <v>110</v>
      </c>
      <c r="L17" s="1" t="s">
        <v>61</v>
      </c>
      <c r="R17" s="1" t="s">
        <v>62</v>
      </c>
      <c r="S17" s="1" t="s">
        <v>63</v>
      </c>
      <c r="T17" s="1" t="s">
        <v>63</v>
      </c>
      <c r="U17" s="1" t="s">
        <v>59</v>
      </c>
      <c r="V17" s="1" t="s">
        <v>516</v>
      </c>
      <c r="Y17" s="1" t="s">
        <v>517</v>
      </c>
      <c r="Z17" s="1" t="str">
        <f t="shared" si="0"/>
        <v>Elbow 90 deg DN300 LR BW. Welded CS ASTM A234-WPB. Dims to ASME B16.9</v>
      </c>
      <c r="AA17" s="1" t="s">
        <v>66</v>
      </c>
      <c r="AG17" t="s">
        <v>518</v>
      </c>
      <c r="AM17" t="s">
        <v>68</v>
      </c>
      <c r="AO17" t="s">
        <v>281</v>
      </c>
      <c r="AV17" t="s">
        <v>426</v>
      </c>
    </row>
    <row r="18" spans="2:48" x14ac:dyDescent="0.25">
      <c r="B18" s="1" t="s">
        <v>111</v>
      </c>
      <c r="C18" s="1" t="s">
        <v>513</v>
      </c>
      <c r="D18" s="1" t="s">
        <v>514</v>
      </c>
      <c r="E18" s="1" t="s">
        <v>111</v>
      </c>
      <c r="F18" t="s">
        <v>121</v>
      </c>
      <c r="G18" t="s">
        <v>533</v>
      </c>
      <c r="H18" s="3" t="s">
        <v>58</v>
      </c>
      <c r="I18" s="1" t="s">
        <v>111</v>
      </c>
      <c r="J18" s="1" t="s">
        <v>59</v>
      </c>
      <c r="K18" s="1" t="s">
        <v>113</v>
      </c>
      <c r="L18" s="1" t="s">
        <v>61</v>
      </c>
      <c r="R18" s="1" t="s">
        <v>62</v>
      </c>
      <c r="S18" s="1" t="s">
        <v>63</v>
      </c>
      <c r="T18" s="1" t="s">
        <v>63</v>
      </c>
      <c r="U18" s="1" t="s">
        <v>59</v>
      </c>
      <c r="V18" s="1" t="s">
        <v>516</v>
      </c>
      <c r="Y18" s="1" t="s">
        <v>517</v>
      </c>
      <c r="Z18" s="1" t="str">
        <f t="shared" si="0"/>
        <v>Elbow 90 deg DN350 LR BW. Welded CS ASTM A234-WPB. Dims to ASME B16.9</v>
      </c>
      <c r="AA18" s="1" t="s">
        <v>66</v>
      </c>
      <c r="AG18" t="s">
        <v>518</v>
      </c>
      <c r="AM18" t="s">
        <v>68</v>
      </c>
      <c r="AO18" t="s">
        <v>281</v>
      </c>
      <c r="AV18" t="s">
        <v>426</v>
      </c>
    </row>
    <row r="19" spans="2:48" x14ac:dyDescent="0.25">
      <c r="B19" s="1" t="s">
        <v>114</v>
      </c>
      <c r="C19" s="1" t="s">
        <v>513</v>
      </c>
      <c r="D19" s="1" t="s">
        <v>514</v>
      </c>
      <c r="E19" s="1" t="s">
        <v>114</v>
      </c>
      <c r="F19" t="s">
        <v>121</v>
      </c>
      <c r="G19" t="s">
        <v>534</v>
      </c>
      <c r="H19" s="3" t="s">
        <v>58</v>
      </c>
      <c r="I19" s="1" t="s">
        <v>114</v>
      </c>
      <c r="J19" s="1" t="s">
        <v>59</v>
      </c>
      <c r="K19" s="1" t="s">
        <v>116</v>
      </c>
      <c r="L19" s="1" t="s">
        <v>61</v>
      </c>
      <c r="R19" s="1" t="s">
        <v>62</v>
      </c>
      <c r="S19" s="1" t="s">
        <v>63</v>
      </c>
      <c r="T19" s="1" t="s">
        <v>63</v>
      </c>
      <c r="U19" s="1" t="s">
        <v>59</v>
      </c>
      <c r="V19" s="1" t="s">
        <v>516</v>
      </c>
      <c r="Y19" s="1" t="s">
        <v>517</v>
      </c>
      <c r="Z19" s="1" t="str">
        <f t="shared" si="0"/>
        <v>Elbow 90 deg DN400 LR BW. Welded CS ASTM A234-WPB. Dims to ASME B16.9</v>
      </c>
      <c r="AA19" s="1" t="s">
        <v>66</v>
      </c>
      <c r="AG19" t="s">
        <v>518</v>
      </c>
      <c r="AM19" t="s">
        <v>68</v>
      </c>
      <c r="AO19" t="s">
        <v>281</v>
      </c>
      <c r="AV19" t="s">
        <v>426</v>
      </c>
    </row>
    <row r="20" spans="2:48" x14ac:dyDescent="0.25">
      <c r="B20" s="1" t="s">
        <v>117</v>
      </c>
      <c r="C20" s="1" t="s">
        <v>513</v>
      </c>
      <c r="D20" s="1" t="s">
        <v>514</v>
      </c>
      <c r="E20" s="1" t="s">
        <v>117</v>
      </c>
      <c r="F20" t="s">
        <v>121</v>
      </c>
      <c r="G20" t="s">
        <v>535</v>
      </c>
      <c r="H20" s="3" t="s">
        <v>58</v>
      </c>
      <c r="I20" s="1" t="s">
        <v>117</v>
      </c>
      <c r="J20" s="1" t="s">
        <v>59</v>
      </c>
      <c r="K20" s="1" t="s">
        <v>119</v>
      </c>
      <c r="L20" s="1" t="s">
        <v>61</v>
      </c>
      <c r="R20" s="1" t="s">
        <v>62</v>
      </c>
      <c r="S20" s="1" t="s">
        <v>63</v>
      </c>
      <c r="T20" s="1" t="s">
        <v>63</v>
      </c>
      <c r="U20" s="1" t="s">
        <v>59</v>
      </c>
      <c r="V20" s="1" t="s">
        <v>516</v>
      </c>
      <c r="Y20" s="1" t="s">
        <v>517</v>
      </c>
      <c r="Z20" s="1" t="str">
        <f t="shared" si="0"/>
        <v>Elbow 90 deg DN450 LR BW. Welded CS ASTM A234-WPB. Dims to ASME B16.9</v>
      </c>
      <c r="AA20" s="1" t="s">
        <v>66</v>
      </c>
      <c r="AG20" t="s">
        <v>518</v>
      </c>
      <c r="AM20" t="s">
        <v>68</v>
      </c>
      <c r="AO20" t="s">
        <v>281</v>
      </c>
      <c r="AV20" t="s">
        <v>426</v>
      </c>
    </row>
  </sheetData>
  <sheetProtection formatCells="0" formatColumns="0" insertColumns="0" deleteColumns="0"/>
  <dataValidations count="2">
    <dataValidation type="list" allowBlank="1" showInputMessage="1" showErrorMessage="1" sqref="AD3:AD20" xr:uid="{00000000-0002-0000-0E00-000000000000}">
      <formula1>"LB,KG"</formula1>
    </dataValidation>
    <dataValidation type="decimal" allowBlank="1" showInputMessage="1" showErrorMessage="1" sqref="AS3:AU20 AM3:AM20 AI3:AI20 AC3:AC20 S3:T20 P3:P20 K3:K20 I3:I20" xr:uid="{00000000-0002-0000-0E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20"/>
  <sheetViews>
    <sheetView topLeftCell="S2" workbookViewId="0">
      <selection activeCell="AA4" sqref="AA4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19.28515625" style="1" bestFit="1" customWidth="1"/>
    <col min="4" max="4" width="107.42578125" style="1" bestFit="1" customWidth="1"/>
    <col min="5" max="5" width="3.7109375" style="1" bestFit="1" customWidth="1"/>
    <col min="6" max="6" width="4.5703125" style="1" bestFit="1" customWidth="1"/>
    <col min="7" max="7" width="32.42578125" bestFit="1" customWidth="1"/>
    <col min="8" max="8" width="37.140625" bestFit="1" customWidth="1"/>
    <col min="9" max="9" width="15.85546875" style="1" bestFit="1" customWidth="1"/>
    <col min="10" max="10" width="23" style="1" bestFit="1" customWidth="1"/>
    <col min="11" max="11" width="18.42578125" style="1" bestFit="1" customWidth="1"/>
    <col min="12" max="12" width="22" style="1" bestFit="1" customWidth="1"/>
    <col min="13" max="13" width="14.42578125" style="1" bestFit="1" customWidth="1"/>
    <col min="14" max="14" width="15.5703125" style="1" bestFit="1" customWidth="1"/>
    <col min="15" max="15" width="15.85546875" style="1" bestFit="1" customWidth="1"/>
    <col min="16" max="16" width="12.28515625" style="1" bestFit="1" customWidth="1"/>
    <col min="17" max="17" width="21.5703125" style="1" bestFit="1" customWidth="1"/>
    <col min="18" max="18" width="19.140625" style="1" bestFit="1" customWidth="1"/>
    <col min="19" max="19" width="15" style="1" bestFit="1" customWidth="1"/>
    <col min="20" max="20" width="19.7109375" style="1" bestFit="1" customWidth="1"/>
    <col min="21" max="21" width="24.140625" style="1" bestFit="1" customWidth="1"/>
    <col min="22" max="22" width="16.7109375" style="1" bestFit="1" customWidth="1"/>
    <col min="23" max="23" width="16" style="1" bestFit="1" customWidth="1"/>
    <col min="24" max="24" width="19.42578125" style="1" bestFit="1" customWidth="1"/>
    <col min="25" max="25" width="9.85546875" style="1" bestFit="1" customWidth="1"/>
    <col min="26" max="26" width="42.42578125" style="1" bestFit="1" customWidth="1"/>
    <col min="27" max="27" width="47.7109375" style="1" bestFit="1" customWidth="1"/>
    <col min="28" max="28" width="8.5703125" style="1" bestFit="1" customWidth="1"/>
    <col min="29" max="29" width="13.28515625" style="1" bestFit="1" customWidth="1"/>
    <col min="30" max="30" width="7.5703125" style="1" bestFit="1" customWidth="1"/>
    <col min="31" max="31" width="11.42578125" style="1" bestFit="1" customWidth="1"/>
    <col min="32" max="33" width="5.28515625" style="1" bestFit="1" customWidth="1"/>
    <col min="34" max="34" width="36.28515625" bestFit="1" customWidth="1"/>
    <col min="35" max="35" width="19" bestFit="1" customWidth="1"/>
    <col min="36" max="36" width="10" bestFit="1" customWidth="1"/>
    <col min="37" max="37" width="13.28515625" style="1" bestFit="1" customWidth="1"/>
    <col min="38" max="38" width="9.7109375" style="1" bestFit="1" customWidth="1"/>
    <col min="39" max="39" width="20.42578125" style="1" bestFit="1" customWidth="1"/>
    <col min="40" max="40" width="20.42578125" bestFit="1" customWidth="1"/>
    <col min="41" max="41" width="22.42578125" style="1" bestFit="1" customWidth="1"/>
    <col min="42" max="42" width="12.42578125" bestFit="1" customWidth="1"/>
    <col min="43" max="43" width="26.85546875" bestFit="1" customWidth="1"/>
    <col min="44" max="44" width="11.42578125" bestFit="1" customWidth="1"/>
    <col min="45" max="45" width="6.42578125" style="1" bestFit="1" customWidth="1"/>
    <col min="46" max="46" width="14.28515625" bestFit="1" customWidth="1"/>
    <col min="47" max="47" width="22.7109375" bestFit="1" customWidth="1"/>
    <col min="48" max="48" width="9.140625" customWidth="1"/>
  </cols>
  <sheetData>
    <row r="1" spans="1:47" hidden="1" x14ac:dyDescent="0.2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s="1" t="s">
        <v>536</v>
      </c>
      <c r="G1" t="s">
        <v>6</v>
      </c>
      <c r="H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t="s">
        <v>39</v>
      </c>
      <c r="AO1" s="1" t="s">
        <v>40</v>
      </c>
      <c r="AP1" t="s">
        <v>41</v>
      </c>
      <c r="AQ1" t="s">
        <v>42</v>
      </c>
      <c r="AR1" t="s">
        <v>43</v>
      </c>
      <c r="AS1" s="1" t="s">
        <v>44</v>
      </c>
      <c r="AT1" t="s">
        <v>50</v>
      </c>
      <c r="AU1" t="s">
        <v>51</v>
      </c>
    </row>
    <row r="2" spans="1:47" s="2" customFormat="1" x14ac:dyDescent="0.25">
      <c r="A2" s="2" t="s">
        <v>52</v>
      </c>
      <c r="B2" s="2" t="s">
        <v>1</v>
      </c>
      <c r="C2" s="2" t="s">
        <v>53</v>
      </c>
      <c r="D2" s="2" t="s">
        <v>122</v>
      </c>
      <c r="E2" s="2" t="s">
        <v>121</v>
      </c>
      <c r="F2" s="2" t="s">
        <v>536</v>
      </c>
      <c r="G2" s="2" t="s">
        <v>6</v>
      </c>
      <c r="H2" s="2" t="s">
        <v>7</v>
      </c>
      <c r="I2" s="4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50</v>
      </c>
      <c r="AU2" s="2" t="s">
        <v>51</v>
      </c>
    </row>
    <row r="3" spans="1:47" x14ac:dyDescent="0.25">
      <c r="B3" s="1" t="s">
        <v>54</v>
      </c>
      <c r="C3" s="1" t="s">
        <v>537</v>
      </c>
      <c r="D3" s="1" t="s">
        <v>538</v>
      </c>
      <c r="E3" s="1" t="s">
        <v>54</v>
      </c>
      <c r="F3" s="7">
        <v>1.5</v>
      </c>
      <c r="G3" t="s">
        <v>539</v>
      </c>
      <c r="H3" t="s">
        <v>540</v>
      </c>
      <c r="I3" s="3" t="s">
        <v>58</v>
      </c>
      <c r="J3" s="1" t="s">
        <v>54</v>
      </c>
      <c r="K3" s="1" t="s">
        <v>59</v>
      </c>
      <c r="L3" s="1" t="s">
        <v>60</v>
      </c>
      <c r="M3" s="1" t="s">
        <v>541</v>
      </c>
      <c r="P3" s="1" t="s">
        <v>542</v>
      </c>
      <c r="R3" s="1" t="s">
        <v>99</v>
      </c>
      <c r="T3" s="1" t="s">
        <v>63</v>
      </c>
      <c r="U3" s="1" t="s">
        <v>63</v>
      </c>
      <c r="V3" s="1" t="s">
        <v>59</v>
      </c>
      <c r="W3" s="1" t="s">
        <v>543</v>
      </c>
      <c r="Z3" s="1" t="s">
        <v>544</v>
      </c>
      <c r="AA3" s="1" t="str">
        <f>REPLACE(Z3, 12, 0, " DN" &amp; E3)</f>
        <v>Gasket CNAF DN15 Ring-Type CL150 Klingersil C4500</v>
      </c>
      <c r="AB3" s="1" t="s">
        <v>545</v>
      </c>
      <c r="AH3" t="s">
        <v>546</v>
      </c>
      <c r="AN3" t="s">
        <v>68</v>
      </c>
      <c r="AP3" t="s">
        <v>547</v>
      </c>
      <c r="AT3" t="s">
        <v>548</v>
      </c>
    </row>
    <row r="4" spans="1:47" x14ac:dyDescent="0.25">
      <c r="B4" s="1" t="s">
        <v>71</v>
      </c>
      <c r="C4" s="1" t="s">
        <v>537</v>
      </c>
      <c r="D4" s="1" t="s">
        <v>538</v>
      </c>
      <c r="E4" s="1" t="s">
        <v>71</v>
      </c>
      <c r="F4" s="7">
        <v>1.5</v>
      </c>
      <c r="G4" t="s">
        <v>539</v>
      </c>
      <c r="H4" t="s">
        <v>549</v>
      </c>
      <c r="I4" s="3" t="s">
        <v>58</v>
      </c>
      <c r="J4" s="1" t="s">
        <v>71</v>
      </c>
      <c r="K4" s="1" t="s">
        <v>59</v>
      </c>
      <c r="L4" s="1" t="s">
        <v>73</v>
      </c>
      <c r="M4" s="1" t="s">
        <v>541</v>
      </c>
      <c r="P4" s="1" t="s">
        <v>542</v>
      </c>
      <c r="R4" s="1" t="s">
        <v>99</v>
      </c>
      <c r="T4" s="1" t="s">
        <v>63</v>
      </c>
      <c r="U4" s="1" t="s">
        <v>63</v>
      </c>
      <c r="V4" s="1" t="s">
        <v>59</v>
      </c>
      <c r="W4" s="1" t="s">
        <v>543</v>
      </c>
      <c r="Z4" s="1" t="s">
        <v>544</v>
      </c>
      <c r="AA4" s="1" t="str">
        <f t="shared" ref="AA4:AA20" si="0">REPLACE(Z4, 12, 0, " DN" &amp; E4)</f>
        <v>Gasket CNAF DN20 Ring-Type CL150 Klingersil C4500</v>
      </c>
      <c r="AB4" s="1" t="s">
        <v>545</v>
      </c>
      <c r="AH4" t="s">
        <v>546</v>
      </c>
      <c r="AN4" t="s">
        <v>68</v>
      </c>
      <c r="AP4" t="s">
        <v>547</v>
      </c>
      <c r="AT4" t="s">
        <v>548</v>
      </c>
    </row>
    <row r="5" spans="1:47" x14ac:dyDescent="0.25">
      <c r="B5" s="1" t="s">
        <v>74</v>
      </c>
      <c r="C5" s="1" t="s">
        <v>537</v>
      </c>
      <c r="D5" s="1" t="s">
        <v>538</v>
      </c>
      <c r="E5" s="1" t="s">
        <v>74</v>
      </c>
      <c r="F5" s="7">
        <v>1.5</v>
      </c>
      <c r="G5" t="s">
        <v>539</v>
      </c>
      <c r="H5" t="s">
        <v>550</v>
      </c>
      <c r="I5" s="3" t="s">
        <v>58</v>
      </c>
      <c r="J5" s="1" t="s">
        <v>74</v>
      </c>
      <c r="K5" s="1" t="s">
        <v>59</v>
      </c>
      <c r="L5" s="1" t="s">
        <v>76</v>
      </c>
      <c r="M5" s="1" t="s">
        <v>541</v>
      </c>
      <c r="P5" s="1" t="s">
        <v>542</v>
      </c>
      <c r="R5" s="1" t="s">
        <v>99</v>
      </c>
      <c r="T5" s="1" t="s">
        <v>63</v>
      </c>
      <c r="U5" s="1" t="s">
        <v>63</v>
      </c>
      <c r="V5" s="1" t="s">
        <v>59</v>
      </c>
      <c r="W5" s="1" t="s">
        <v>543</v>
      </c>
      <c r="Z5" s="1" t="s">
        <v>544</v>
      </c>
      <c r="AA5" s="1" t="str">
        <f t="shared" si="0"/>
        <v>Gasket CNAF DN25 Ring-Type CL150 Klingersil C4500</v>
      </c>
      <c r="AB5" s="1" t="s">
        <v>545</v>
      </c>
      <c r="AH5" t="s">
        <v>546</v>
      </c>
      <c r="AN5" t="s">
        <v>68</v>
      </c>
      <c r="AP5" t="s">
        <v>547</v>
      </c>
      <c r="AT5" t="s">
        <v>548</v>
      </c>
    </row>
    <row r="6" spans="1:47" x14ac:dyDescent="0.25">
      <c r="B6" s="1" t="s">
        <v>77</v>
      </c>
      <c r="C6" s="1" t="s">
        <v>537</v>
      </c>
      <c r="D6" s="1" t="s">
        <v>538</v>
      </c>
      <c r="E6" s="1" t="s">
        <v>77</v>
      </c>
      <c r="F6" s="7">
        <v>1.5</v>
      </c>
      <c r="G6" t="s">
        <v>539</v>
      </c>
      <c r="H6" t="s">
        <v>551</v>
      </c>
      <c r="I6" s="3" t="s">
        <v>58</v>
      </c>
      <c r="J6" s="1" t="s">
        <v>77</v>
      </c>
      <c r="K6" s="1" t="s">
        <v>59</v>
      </c>
      <c r="L6" s="1" t="s">
        <v>79</v>
      </c>
      <c r="M6" s="1" t="s">
        <v>541</v>
      </c>
      <c r="P6" s="1" t="s">
        <v>542</v>
      </c>
      <c r="R6" s="1" t="s">
        <v>99</v>
      </c>
      <c r="T6" s="1" t="s">
        <v>63</v>
      </c>
      <c r="U6" s="1" t="s">
        <v>63</v>
      </c>
      <c r="V6" s="1" t="s">
        <v>59</v>
      </c>
      <c r="W6" s="1" t="s">
        <v>543</v>
      </c>
      <c r="Z6" s="1" t="s">
        <v>544</v>
      </c>
      <c r="AA6" s="1" t="str">
        <f t="shared" si="0"/>
        <v>Gasket CNAF DN32 Ring-Type CL150 Klingersil C4500</v>
      </c>
      <c r="AB6" s="1" t="s">
        <v>545</v>
      </c>
      <c r="AH6" t="s">
        <v>546</v>
      </c>
      <c r="AN6" t="s">
        <v>68</v>
      </c>
      <c r="AP6" t="s">
        <v>547</v>
      </c>
      <c r="AT6" t="s">
        <v>548</v>
      </c>
    </row>
    <row r="7" spans="1:47" x14ac:dyDescent="0.25">
      <c r="B7" s="1" t="s">
        <v>62</v>
      </c>
      <c r="C7" s="1" t="s">
        <v>537</v>
      </c>
      <c r="D7" s="1" t="s">
        <v>538</v>
      </c>
      <c r="E7" s="1" t="s">
        <v>62</v>
      </c>
      <c r="F7" s="7">
        <v>1.5</v>
      </c>
      <c r="G7" t="s">
        <v>539</v>
      </c>
      <c r="H7" t="s">
        <v>552</v>
      </c>
      <c r="I7" s="3" t="s">
        <v>58</v>
      </c>
      <c r="J7" s="1" t="s">
        <v>62</v>
      </c>
      <c r="K7" s="1" t="s">
        <v>59</v>
      </c>
      <c r="L7" s="1" t="s">
        <v>82</v>
      </c>
      <c r="M7" s="1" t="s">
        <v>541</v>
      </c>
      <c r="P7" s="1" t="s">
        <v>542</v>
      </c>
      <c r="R7" s="1" t="s">
        <v>99</v>
      </c>
      <c r="T7" s="1" t="s">
        <v>63</v>
      </c>
      <c r="U7" s="1" t="s">
        <v>63</v>
      </c>
      <c r="V7" s="1" t="s">
        <v>59</v>
      </c>
      <c r="W7" s="1" t="s">
        <v>543</v>
      </c>
      <c r="Z7" s="1" t="s">
        <v>544</v>
      </c>
      <c r="AA7" s="1" t="str">
        <f t="shared" si="0"/>
        <v>Gasket CNAF DN40 Ring-Type CL150 Klingersil C4500</v>
      </c>
      <c r="AB7" s="1" t="s">
        <v>545</v>
      </c>
      <c r="AH7" t="s">
        <v>546</v>
      </c>
      <c r="AN7" t="s">
        <v>68</v>
      </c>
      <c r="AP7" t="s">
        <v>547</v>
      </c>
      <c r="AT7" t="s">
        <v>548</v>
      </c>
    </row>
    <row r="8" spans="1:47" x14ac:dyDescent="0.25">
      <c r="B8" s="1" t="s">
        <v>83</v>
      </c>
      <c r="C8" s="1" t="s">
        <v>537</v>
      </c>
      <c r="D8" s="1" t="s">
        <v>538</v>
      </c>
      <c r="E8" s="1" t="s">
        <v>83</v>
      </c>
      <c r="F8" s="7">
        <v>1.5</v>
      </c>
      <c r="G8" t="s">
        <v>539</v>
      </c>
      <c r="H8" t="s">
        <v>553</v>
      </c>
      <c r="I8" s="3" t="s">
        <v>58</v>
      </c>
      <c r="J8" s="1" t="s">
        <v>83</v>
      </c>
      <c r="K8" s="1" t="s">
        <v>59</v>
      </c>
      <c r="L8" s="1" t="s">
        <v>85</v>
      </c>
      <c r="M8" s="1" t="s">
        <v>541</v>
      </c>
      <c r="P8" s="1" t="s">
        <v>542</v>
      </c>
      <c r="R8" s="1" t="s">
        <v>99</v>
      </c>
      <c r="T8" s="1" t="s">
        <v>63</v>
      </c>
      <c r="U8" s="1" t="s">
        <v>63</v>
      </c>
      <c r="V8" s="1" t="s">
        <v>59</v>
      </c>
      <c r="W8" s="1" t="s">
        <v>543</v>
      </c>
      <c r="Z8" s="1" t="s">
        <v>544</v>
      </c>
      <c r="AA8" s="1" t="str">
        <f t="shared" si="0"/>
        <v>Gasket CNAF DN50 Ring-Type CL150 Klingersil C4500</v>
      </c>
      <c r="AB8" s="1" t="s">
        <v>545</v>
      </c>
      <c r="AH8" t="s">
        <v>546</v>
      </c>
      <c r="AN8" t="s">
        <v>68</v>
      </c>
      <c r="AP8" t="s">
        <v>547</v>
      </c>
      <c r="AT8" t="s">
        <v>548</v>
      </c>
    </row>
    <row r="9" spans="1:47" x14ac:dyDescent="0.25">
      <c r="B9" s="1" t="s">
        <v>86</v>
      </c>
      <c r="C9" s="1" t="s">
        <v>537</v>
      </c>
      <c r="D9" s="1" t="s">
        <v>538</v>
      </c>
      <c r="E9" s="1" t="s">
        <v>86</v>
      </c>
      <c r="F9" s="7">
        <v>1.5</v>
      </c>
      <c r="G9" t="s">
        <v>539</v>
      </c>
      <c r="H9" t="s">
        <v>554</v>
      </c>
      <c r="I9" s="3" t="s">
        <v>58</v>
      </c>
      <c r="J9" s="1" t="s">
        <v>86</v>
      </c>
      <c r="K9" s="1" t="s">
        <v>59</v>
      </c>
      <c r="L9" s="1" t="s">
        <v>88</v>
      </c>
      <c r="M9" s="1" t="s">
        <v>541</v>
      </c>
      <c r="P9" s="1" t="s">
        <v>542</v>
      </c>
      <c r="R9" s="1" t="s">
        <v>99</v>
      </c>
      <c r="T9" s="1" t="s">
        <v>63</v>
      </c>
      <c r="U9" s="1" t="s">
        <v>63</v>
      </c>
      <c r="V9" s="1" t="s">
        <v>59</v>
      </c>
      <c r="W9" s="1" t="s">
        <v>543</v>
      </c>
      <c r="Z9" s="1" t="s">
        <v>544</v>
      </c>
      <c r="AA9" s="1" t="str">
        <f t="shared" si="0"/>
        <v>Gasket CNAF DN65 Ring-Type CL150 Klingersil C4500</v>
      </c>
      <c r="AB9" s="1" t="s">
        <v>545</v>
      </c>
      <c r="AH9" t="s">
        <v>546</v>
      </c>
      <c r="AN9" t="s">
        <v>68</v>
      </c>
      <c r="AP9" t="s">
        <v>547</v>
      </c>
      <c r="AT9" t="s">
        <v>548</v>
      </c>
    </row>
    <row r="10" spans="1:47" x14ac:dyDescent="0.25">
      <c r="B10" s="1" t="s">
        <v>89</v>
      </c>
      <c r="C10" s="1" t="s">
        <v>537</v>
      </c>
      <c r="D10" s="1" t="s">
        <v>538</v>
      </c>
      <c r="E10" s="1" t="s">
        <v>89</v>
      </c>
      <c r="F10" s="7">
        <v>1.5</v>
      </c>
      <c r="G10" t="s">
        <v>539</v>
      </c>
      <c r="H10" t="s">
        <v>555</v>
      </c>
      <c r="I10" s="3" t="s">
        <v>58</v>
      </c>
      <c r="J10" s="1" t="s">
        <v>89</v>
      </c>
      <c r="K10" s="1" t="s">
        <v>59</v>
      </c>
      <c r="L10" s="1" t="s">
        <v>91</v>
      </c>
      <c r="M10" s="1" t="s">
        <v>541</v>
      </c>
      <c r="P10" s="1" t="s">
        <v>542</v>
      </c>
      <c r="R10" s="1" t="s">
        <v>99</v>
      </c>
      <c r="T10" s="1" t="s">
        <v>63</v>
      </c>
      <c r="U10" s="1" t="s">
        <v>63</v>
      </c>
      <c r="V10" s="1" t="s">
        <v>59</v>
      </c>
      <c r="W10" s="1" t="s">
        <v>543</v>
      </c>
      <c r="Z10" s="1" t="s">
        <v>544</v>
      </c>
      <c r="AA10" s="1" t="str">
        <f t="shared" si="0"/>
        <v>Gasket CNAF DN80 Ring-Type CL150 Klingersil C4500</v>
      </c>
      <c r="AB10" s="1" t="s">
        <v>545</v>
      </c>
      <c r="AH10" t="s">
        <v>546</v>
      </c>
      <c r="AN10" t="s">
        <v>68</v>
      </c>
      <c r="AP10" t="s">
        <v>547</v>
      </c>
      <c r="AT10" t="s">
        <v>548</v>
      </c>
    </row>
    <row r="11" spans="1:47" x14ac:dyDescent="0.25">
      <c r="B11" s="1" t="s">
        <v>92</v>
      </c>
      <c r="C11" s="1" t="s">
        <v>537</v>
      </c>
      <c r="D11" s="1" t="s">
        <v>538</v>
      </c>
      <c r="E11" s="1" t="s">
        <v>92</v>
      </c>
      <c r="F11" s="7">
        <v>1.5</v>
      </c>
      <c r="G11" t="s">
        <v>539</v>
      </c>
      <c r="H11" t="s">
        <v>556</v>
      </c>
      <c r="I11" s="3" t="s">
        <v>58</v>
      </c>
      <c r="J11" s="1" t="s">
        <v>92</v>
      </c>
      <c r="K11" s="1" t="s">
        <v>59</v>
      </c>
      <c r="L11" s="1" t="s">
        <v>92</v>
      </c>
      <c r="M11" s="1" t="s">
        <v>541</v>
      </c>
      <c r="P11" s="1" t="s">
        <v>542</v>
      </c>
      <c r="R11" s="1" t="s">
        <v>99</v>
      </c>
      <c r="T11" s="1" t="s">
        <v>63</v>
      </c>
      <c r="U11" s="1" t="s">
        <v>63</v>
      </c>
      <c r="V11" s="1" t="s">
        <v>59</v>
      </c>
      <c r="W11" s="1" t="s">
        <v>543</v>
      </c>
      <c r="Z11" s="1" t="s">
        <v>544</v>
      </c>
      <c r="AA11" s="1" t="str">
        <f t="shared" si="0"/>
        <v>Gasket CNAF DN90 Ring-Type CL150 Klingersil C4500</v>
      </c>
      <c r="AB11" s="1" t="s">
        <v>545</v>
      </c>
      <c r="AH11" t="s">
        <v>546</v>
      </c>
      <c r="AN11" t="s">
        <v>68</v>
      </c>
      <c r="AP11" t="s">
        <v>547</v>
      </c>
      <c r="AT11" t="s">
        <v>548</v>
      </c>
    </row>
    <row r="12" spans="1:47" x14ac:dyDescent="0.25">
      <c r="B12" s="1" t="s">
        <v>94</v>
      </c>
      <c r="C12" s="1" t="s">
        <v>537</v>
      </c>
      <c r="D12" s="1" t="s">
        <v>538</v>
      </c>
      <c r="E12" s="1" t="s">
        <v>94</v>
      </c>
      <c r="F12" s="7">
        <v>1.5</v>
      </c>
      <c r="G12" t="s">
        <v>539</v>
      </c>
      <c r="H12" t="s">
        <v>557</v>
      </c>
      <c r="I12" s="3" t="s">
        <v>58</v>
      </c>
      <c r="J12" s="1" t="s">
        <v>94</v>
      </c>
      <c r="K12" s="1" t="s">
        <v>59</v>
      </c>
      <c r="L12" s="1" t="s">
        <v>96</v>
      </c>
      <c r="M12" s="1" t="s">
        <v>541</v>
      </c>
      <c r="P12" s="1" t="s">
        <v>542</v>
      </c>
      <c r="R12" s="1" t="s">
        <v>99</v>
      </c>
      <c r="T12" s="1" t="s">
        <v>63</v>
      </c>
      <c r="U12" s="1" t="s">
        <v>63</v>
      </c>
      <c r="V12" s="1" t="s">
        <v>59</v>
      </c>
      <c r="W12" s="1" t="s">
        <v>543</v>
      </c>
      <c r="Z12" s="1" t="s">
        <v>544</v>
      </c>
      <c r="AA12" s="1" t="str">
        <f t="shared" si="0"/>
        <v>Gasket CNAF DN100 Ring-Type CL150 Klingersil C4500</v>
      </c>
      <c r="AB12" s="1" t="s">
        <v>545</v>
      </c>
      <c r="AH12" t="s">
        <v>546</v>
      </c>
      <c r="AN12" t="s">
        <v>68</v>
      </c>
      <c r="AP12" t="s">
        <v>547</v>
      </c>
      <c r="AT12" t="s">
        <v>548</v>
      </c>
    </row>
    <row r="13" spans="1:47" x14ac:dyDescent="0.25">
      <c r="B13" s="1" t="s">
        <v>97</v>
      </c>
      <c r="C13" s="1" t="s">
        <v>537</v>
      </c>
      <c r="D13" s="1" t="s">
        <v>538</v>
      </c>
      <c r="E13" s="1" t="s">
        <v>97</v>
      </c>
      <c r="F13" s="7">
        <v>1.5</v>
      </c>
      <c r="G13" t="s">
        <v>539</v>
      </c>
      <c r="H13" t="s">
        <v>558</v>
      </c>
      <c r="I13" s="3" t="s">
        <v>58</v>
      </c>
      <c r="J13" s="1" t="s">
        <v>97</v>
      </c>
      <c r="K13" s="1" t="s">
        <v>59</v>
      </c>
      <c r="L13" s="1" t="s">
        <v>97</v>
      </c>
      <c r="M13" s="1" t="s">
        <v>541</v>
      </c>
      <c r="P13" s="1" t="s">
        <v>542</v>
      </c>
      <c r="R13" s="1" t="s">
        <v>99</v>
      </c>
      <c r="T13" s="1" t="s">
        <v>63</v>
      </c>
      <c r="U13" s="1" t="s">
        <v>63</v>
      </c>
      <c r="V13" s="1" t="s">
        <v>59</v>
      </c>
      <c r="W13" s="1" t="s">
        <v>543</v>
      </c>
      <c r="Z13" s="1" t="s">
        <v>544</v>
      </c>
      <c r="AA13" s="1" t="str">
        <f t="shared" si="0"/>
        <v>Gasket CNAF DN125 Ring-Type CL150 Klingersil C4500</v>
      </c>
      <c r="AB13" s="1" t="s">
        <v>545</v>
      </c>
      <c r="AH13" t="s">
        <v>546</v>
      </c>
      <c r="AN13" t="s">
        <v>68</v>
      </c>
      <c r="AP13" t="s">
        <v>547</v>
      </c>
      <c r="AT13" t="s">
        <v>548</v>
      </c>
    </row>
    <row r="14" spans="1:47" x14ac:dyDescent="0.25">
      <c r="B14" s="1" t="s">
        <v>99</v>
      </c>
      <c r="C14" s="1" t="s">
        <v>537</v>
      </c>
      <c r="D14" s="1" t="s">
        <v>538</v>
      </c>
      <c r="E14" s="1" t="s">
        <v>99</v>
      </c>
      <c r="F14" s="7">
        <v>1.5</v>
      </c>
      <c r="G14" t="s">
        <v>539</v>
      </c>
      <c r="H14" t="s">
        <v>559</v>
      </c>
      <c r="I14" s="3" t="s">
        <v>58</v>
      </c>
      <c r="J14" s="1" t="s">
        <v>99</v>
      </c>
      <c r="K14" s="1" t="s">
        <v>59</v>
      </c>
      <c r="L14" s="1" t="s">
        <v>101</v>
      </c>
      <c r="M14" s="1" t="s">
        <v>541</v>
      </c>
      <c r="P14" s="1" t="s">
        <v>542</v>
      </c>
      <c r="R14" s="1" t="s">
        <v>99</v>
      </c>
      <c r="T14" s="1" t="s">
        <v>63</v>
      </c>
      <c r="U14" s="1" t="s">
        <v>63</v>
      </c>
      <c r="V14" s="1" t="s">
        <v>59</v>
      </c>
      <c r="W14" s="1" t="s">
        <v>543</v>
      </c>
      <c r="Z14" s="1" t="s">
        <v>544</v>
      </c>
      <c r="AA14" s="1" t="str">
        <f t="shared" si="0"/>
        <v>Gasket CNAF DN150 Ring-Type CL150 Klingersil C4500</v>
      </c>
      <c r="AB14" s="1" t="s">
        <v>545</v>
      </c>
      <c r="AH14" t="s">
        <v>546</v>
      </c>
      <c r="AN14" t="s">
        <v>68</v>
      </c>
      <c r="AP14" t="s">
        <v>547</v>
      </c>
      <c r="AT14" t="s">
        <v>548</v>
      </c>
    </row>
    <row r="15" spans="1:47" x14ac:dyDescent="0.25">
      <c r="B15" s="1" t="s">
        <v>102</v>
      </c>
      <c r="C15" s="1" t="s">
        <v>537</v>
      </c>
      <c r="D15" s="1" t="s">
        <v>538</v>
      </c>
      <c r="E15" s="1" t="s">
        <v>102</v>
      </c>
      <c r="F15" s="7">
        <v>1.5</v>
      </c>
      <c r="G15" t="s">
        <v>539</v>
      </c>
      <c r="H15" t="s">
        <v>560</v>
      </c>
      <c r="I15" s="3" t="s">
        <v>58</v>
      </c>
      <c r="J15" s="1" t="s">
        <v>102</v>
      </c>
      <c r="K15" s="1" t="s">
        <v>59</v>
      </c>
      <c r="L15" s="1" t="s">
        <v>104</v>
      </c>
      <c r="M15" s="1" t="s">
        <v>541</v>
      </c>
      <c r="P15" s="1" t="s">
        <v>542</v>
      </c>
      <c r="R15" s="1" t="s">
        <v>99</v>
      </c>
      <c r="T15" s="1" t="s">
        <v>63</v>
      </c>
      <c r="U15" s="1" t="s">
        <v>63</v>
      </c>
      <c r="V15" s="1" t="s">
        <v>59</v>
      </c>
      <c r="W15" s="1" t="s">
        <v>543</v>
      </c>
      <c r="Z15" s="1" t="s">
        <v>544</v>
      </c>
      <c r="AA15" s="1" t="str">
        <f t="shared" si="0"/>
        <v>Gasket CNAF DN200 Ring-Type CL150 Klingersil C4500</v>
      </c>
      <c r="AB15" s="1" t="s">
        <v>545</v>
      </c>
      <c r="AH15" t="s">
        <v>546</v>
      </c>
      <c r="AN15" t="s">
        <v>68</v>
      </c>
      <c r="AP15" t="s">
        <v>547</v>
      </c>
      <c r="AT15" t="s">
        <v>548</v>
      </c>
    </row>
    <row r="16" spans="1:47" x14ac:dyDescent="0.25">
      <c r="B16" s="1" t="s">
        <v>105</v>
      </c>
      <c r="C16" s="1" t="s">
        <v>537</v>
      </c>
      <c r="D16" s="1" t="s">
        <v>538</v>
      </c>
      <c r="E16" s="1" t="s">
        <v>105</v>
      </c>
      <c r="F16" s="7">
        <v>1.5</v>
      </c>
      <c r="G16" t="s">
        <v>539</v>
      </c>
      <c r="H16" t="s">
        <v>561</v>
      </c>
      <c r="I16" s="3" t="s">
        <v>58</v>
      </c>
      <c r="J16" s="1" t="s">
        <v>105</v>
      </c>
      <c r="K16" s="1" t="s">
        <v>59</v>
      </c>
      <c r="L16" s="1" t="s">
        <v>107</v>
      </c>
      <c r="M16" s="1" t="s">
        <v>541</v>
      </c>
      <c r="P16" s="1" t="s">
        <v>542</v>
      </c>
      <c r="R16" s="1" t="s">
        <v>99</v>
      </c>
      <c r="T16" s="1" t="s">
        <v>63</v>
      </c>
      <c r="U16" s="1" t="s">
        <v>63</v>
      </c>
      <c r="V16" s="1" t="s">
        <v>59</v>
      </c>
      <c r="W16" s="1" t="s">
        <v>543</v>
      </c>
      <c r="Z16" s="1" t="s">
        <v>544</v>
      </c>
      <c r="AA16" s="1" t="str">
        <f t="shared" si="0"/>
        <v>Gasket CNAF DN250 Ring-Type CL150 Klingersil C4500</v>
      </c>
      <c r="AB16" s="1" t="s">
        <v>545</v>
      </c>
      <c r="AH16" t="s">
        <v>546</v>
      </c>
      <c r="AN16" t="s">
        <v>68</v>
      </c>
      <c r="AP16" t="s">
        <v>547</v>
      </c>
      <c r="AT16" t="s">
        <v>548</v>
      </c>
    </row>
    <row r="17" spans="2:46" x14ac:dyDescent="0.25">
      <c r="B17" s="1" t="s">
        <v>108</v>
      </c>
      <c r="C17" s="1" t="s">
        <v>537</v>
      </c>
      <c r="D17" s="1" t="s">
        <v>538</v>
      </c>
      <c r="E17" s="1" t="s">
        <v>108</v>
      </c>
      <c r="F17" s="7">
        <v>1.5</v>
      </c>
      <c r="G17" t="s">
        <v>539</v>
      </c>
      <c r="H17" t="s">
        <v>562</v>
      </c>
      <c r="I17" s="3" t="s">
        <v>58</v>
      </c>
      <c r="J17" s="1" t="s">
        <v>108</v>
      </c>
      <c r="K17" s="1" t="s">
        <v>59</v>
      </c>
      <c r="L17" s="1" t="s">
        <v>110</v>
      </c>
      <c r="M17" s="1" t="s">
        <v>541</v>
      </c>
      <c r="P17" s="1" t="s">
        <v>542</v>
      </c>
      <c r="R17" s="1" t="s">
        <v>99</v>
      </c>
      <c r="T17" s="1" t="s">
        <v>63</v>
      </c>
      <c r="U17" s="1" t="s">
        <v>63</v>
      </c>
      <c r="V17" s="1" t="s">
        <v>59</v>
      </c>
      <c r="W17" s="1" t="s">
        <v>543</v>
      </c>
      <c r="Z17" s="1" t="s">
        <v>544</v>
      </c>
      <c r="AA17" s="1" t="str">
        <f t="shared" si="0"/>
        <v>Gasket CNAF DN300 Ring-Type CL150 Klingersil C4500</v>
      </c>
      <c r="AB17" s="1" t="s">
        <v>545</v>
      </c>
      <c r="AH17" t="s">
        <v>546</v>
      </c>
      <c r="AN17" t="s">
        <v>68</v>
      </c>
      <c r="AP17" t="s">
        <v>547</v>
      </c>
      <c r="AT17" t="s">
        <v>548</v>
      </c>
    </row>
    <row r="18" spans="2:46" x14ac:dyDescent="0.25">
      <c r="B18" s="1" t="s">
        <v>111</v>
      </c>
      <c r="C18" s="1" t="s">
        <v>537</v>
      </c>
      <c r="D18" s="1" t="s">
        <v>538</v>
      </c>
      <c r="E18" s="1" t="s">
        <v>111</v>
      </c>
      <c r="F18" s="7">
        <v>1.5</v>
      </c>
      <c r="G18" t="s">
        <v>539</v>
      </c>
      <c r="H18" t="s">
        <v>563</v>
      </c>
      <c r="I18" s="3" t="s">
        <v>58</v>
      </c>
      <c r="J18" s="1" t="s">
        <v>111</v>
      </c>
      <c r="K18" s="1" t="s">
        <v>59</v>
      </c>
      <c r="L18" s="1" t="s">
        <v>113</v>
      </c>
      <c r="M18" s="1" t="s">
        <v>541</v>
      </c>
      <c r="P18" s="1" t="s">
        <v>542</v>
      </c>
      <c r="R18" s="1" t="s">
        <v>99</v>
      </c>
      <c r="T18" s="1" t="s">
        <v>63</v>
      </c>
      <c r="U18" s="1" t="s">
        <v>63</v>
      </c>
      <c r="V18" s="1" t="s">
        <v>59</v>
      </c>
      <c r="W18" s="1" t="s">
        <v>543</v>
      </c>
      <c r="Z18" s="1" t="s">
        <v>544</v>
      </c>
      <c r="AA18" s="1" t="str">
        <f t="shared" si="0"/>
        <v>Gasket CNAF DN350 Ring-Type CL150 Klingersil C4500</v>
      </c>
      <c r="AB18" s="1" t="s">
        <v>545</v>
      </c>
      <c r="AH18" t="s">
        <v>546</v>
      </c>
      <c r="AN18" t="s">
        <v>68</v>
      </c>
      <c r="AP18" t="s">
        <v>547</v>
      </c>
      <c r="AT18" t="s">
        <v>548</v>
      </c>
    </row>
    <row r="19" spans="2:46" x14ac:dyDescent="0.25">
      <c r="B19" s="1" t="s">
        <v>114</v>
      </c>
      <c r="C19" s="1" t="s">
        <v>537</v>
      </c>
      <c r="D19" s="1" t="s">
        <v>538</v>
      </c>
      <c r="E19" s="1" t="s">
        <v>114</v>
      </c>
      <c r="F19" s="7">
        <v>1.5</v>
      </c>
      <c r="G19" t="s">
        <v>539</v>
      </c>
      <c r="H19" t="s">
        <v>564</v>
      </c>
      <c r="I19" s="3" t="s">
        <v>58</v>
      </c>
      <c r="J19" s="1" t="s">
        <v>114</v>
      </c>
      <c r="K19" s="1" t="s">
        <v>59</v>
      </c>
      <c r="L19" s="1" t="s">
        <v>116</v>
      </c>
      <c r="M19" s="1" t="s">
        <v>541</v>
      </c>
      <c r="P19" s="1" t="s">
        <v>542</v>
      </c>
      <c r="R19" s="1" t="s">
        <v>99</v>
      </c>
      <c r="T19" s="1" t="s">
        <v>63</v>
      </c>
      <c r="U19" s="1" t="s">
        <v>63</v>
      </c>
      <c r="V19" s="1" t="s">
        <v>59</v>
      </c>
      <c r="W19" s="1" t="s">
        <v>543</v>
      </c>
      <c r="Z19" s="1" t="s">
        <v>544</v>
      </c>
      <c r="AA19" s="1" t="str">
        <f t="shared" si="0"/>
        <v>Gasket CNAF DN400 Ring-Type CL150 Klingersil C4500</v>
      </c>
      <c r="AB19" s="1" t="s">
        <v>545</v>
      </c>
      <c r="AH19" t="s">
        <v>546</v>
      </c>
      <c r="AN19" t="s">
        <v>68</v>
      </c>
      <c r="AP19" t="s">
        <v>547</v>
      </c>
      <c r="AT19" t="s">
        <v>548</v>
      </c>
    </row>
    <row r="20" spans="2:46" x14ac:dyDescent="0.25">
      <c r="B20" s="1" t="s">
        <v>117</v>
      </c>
      <c r="C20" s="1" t="s">
        <v>537</v>
      </c>
      <c r="D20" s="1" t="s">
        <v>538</v>
      </c>
      <c r="E20" s="1" t="s">
        <v>117</v>
      </c>
      <c r="F20" s="7">
        <v>1.5</v>
      </c>
      <c r="G20" t="s">
        <v>539</v>
      </c>
      <c r="H20" t="s">
        <v>565</v>
      </c>
      <c r="I20" s="3" t="s">
        <v>58</v>
      </c>
      <c r="J20" s="1" t="s">
        <v>117</v>
      </c>
      <c r="K20" s="1" t="s">
        <v>59</v>
      </c>
      <c r="L20" s="1" t="s">
        <v>119</v>
      </c>
      <c r="M20" s="1" t="s">
        <v>541</v>
      </c>
      <c r="P20" s="1" t="s">
        <v>542</v>
      </c>
      <c r="R20" s="1" t="s">
        <v>99</v>
      </c>
      <c r="T20" s="1" t="s">
        <v>63</v>
      </c>
      <c r="U20" s="1" t="s">
        <v>63</v>
      </c>
      <c r="V20" s="1" t="s">
        <v>59</v>
      </c>
      <c r="W20" s="1" t="s">
        <v>543</v>
      </c>
      <c r="Z20" s="1" t="s">
        <v>544</v>
      </c>
      <c r="AA20" s="1" t="str">
        <f t="shared" si="0"/>
        <v>Gasket CNAF DN450 Ring-Type CL150 Klingersil C4500</v>
      </c>
      <c r="AB20" s="1" t="s">
        <v>545</v>
      </c>
      <c r="AH20" t="s">
        <v>546</v>
      </c>
      <c r="AN20" t="s">
        <v>68</v>
      </c>
      <c r="AP20" t="s">
        <v>547</v>
      </c>
      <c r="AT20" t="s">
        <v>548</v>
      </c>
    </row>
  </sheetData>
  <sheetProtection formatCells="0" formatColumns="0" insertColumns="0" deleteColumns="0"/>
  <dataValidations count="2">
    <dataValidation type="list" allowBlank="1" showInputMessage="1" showErrorMessage="1" sqref="AE3:AE20" xr:uid="{00000000-0002-0000-0F00-000000000000}">
      <formula1>"LB,KG"</formula1>
    </dataValidation>
    <dataValidation type="decimal" allowBlank="1" showInputMessage="1" showErrorMessage="1" sqref="AN3:AN20 AJ3:AJ20 AD3:AD20 T3:U20 Q3:Q20 L3:L20 J3:J20" xr:uid="{00000000-0002-0000-0F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20"/>
  <sheetViews>
    <sheetView topLeftCell="O2" workbookViewId="0">
      <selection activeCell="X5" sqref="X5"/>
    </sheetView>
  </sheetViews>
  <sheetFormatPr defaultRowHeight="15" x14ac:dyDescent="0.25"/>
  <cols>
    <col min="1" max="1" width="9.140625" style="1" customWidth="1"/>
    <col min="2" max="2" width="5.42578125" style="1" bestFit="1" customWidth="1"/>
    <col min="3" max="3" width="12.140625" style="1" bestFit="1" customWidth="1"/>
    <col min="4" max="4" width="32.42578125" bestFit="1" customWidth="1"/>
    <col min="5" max="5" width="38.140625" bestFit="1" customWidth="1"/>
    <col min="6" max="6" width="15.85546875" style="1" bestFit="1" customWidth="1"/>
    <col min="7" max="7" width="23" style="1" bestFit="1" customWidth="1"/>
    <col min="8" max="8" width="18.42578125" style="1" bestFit="1" customWidth="1"/>
    <col min="9" max="9" width="22" style="1" bestFit="1" customWidth="1"/>
    <col min="10" max="10" width="14.42578125" style="1" bestFit="1" customWidth="1"/>
    <col min="11" max="11" width="15.5703125" style="1" bestFit="1" customWidth="1"/>
    <col min="12" max="12" width="15.85546875" style="1" bestFit="1" customWidth="1"/>
    <col min="13" max="13" width="12.28515625" style="1" bestFit="1" customWidth="1"/>
    <col min="14" max="14" width="21.5703125" style="1" bestFit="1" customWidth="1"/>
    <col min="15" max="15" width="19.140625" style="1" bestFit="1" customWidth="1"/>
    <col min="16" max="16" width="15" style="1" bestFit="1" customWidth="1"/>
    <col min="17" max="17" width="19.7109375" style="1" bestFit="1" customWidth="1"/>
    <col min="18" max="18" width="24.140625" style="1" bestFit="1" customWidth="1"/>
    <col min="19" max="19" width="16.7109375" style="1" bestFit="1" customWidth="1"/>
    <col min="20" max="20" width="16" style="1" bestFit="1" customWidth="1"/>
    <col min="21" max="21" width="19.42578125" style="1" bestFit="1" customWidth="1"/>
    <col min="22" max="22" width="9.85546875" style="1" bestFit="1" customWidth="1"/>
    <col min="23" max="23" width="41" style="1" bestFit="1" customWidth="1"/>
    <col min="24" max="24" width="47.42578125" style="1" bestFit="1" customWidth="1"/>
    <col min="25" max="25" width="8.5703125" style="1" bestFit="1" customWidth="1"/>
    <col min="26" max="26" width="13.28515625" style="1" bestFit="1" customWidth="1"/>
    <col min="27" max="27" width="7.5703125" style="1" bestFit="1" customWidth="1"/>
    <col min="28" max="28" width="11.42578125" style="1" bestFit="1" customWidth="1"/>
    <col min="29" max="30" width="5.28515625" style="1" bestFit="1" customWidth="1"/>
    <col min="31" max="31" width="36.7109375" bestFit="1" customWidth="1"/>
    <col min="32" max="32" width="19" bestFit="1" customWidth="1"/>
    <col min="33" max="33" width="10" bestFit="1" customWidth="1"/>
    <col min="34" max="34" width="13.28515625" style="1" bestFit="1" customWidth="1"/>
    <col min="35" max="35" width="9.7109375" style="1" bestFit="1" customWidth="1"/>
    <col min="36" max="36" width="20.42578125" style="1" bestFit="1" customWidth="1"/>
    <col min="37" max="37" width="20.42578125" bestFit="1" customWidth="1"/>
    <col min="38" max="38" width="22.42578125" style="1" bestFit="1" customWidth="1"/>
    <col min="39" max="39" width="12.42578125" bestFit="1" customWidth="1"/>
    <col min="40" max="40" width="26.85546875" bestFit="1" customWidth="1"/>
    <col min="41" max="41" width="11.42578125" bestFit="1" customWidth="1"/>
    <col min="42" max="42" width="6.42578125" style="1" bestFit="1" customWidth="1"/>
    <col min="43" max="43" width="8.140625" style="1" bestFit="1" customWidth="1"/>
    <col min="44" max="44" width="12.85546875" style="1" bestFit="1" customWidth="1"/>
    <col min="45" max="45" width="8.28515625" style="1" bestFit="1" customWidth="1"/>
    <col min="46" max="46" width="7" style="1" bestFit="1" customWidth="1"/>
    <col min="47" max="47" width="19.7109375" style="1" bestFit="1" customWidth="1"/>
    <col min="48" max="48" width="15.28515625" style="1" bestFit="1" customWidth="1"/>
    <col min="49" max="49" width="18" style="1" bestFit="1" customWidth="1"/>
    <col min="50" max="50" width="14.28515625" bestFit="1" customWidth="1"/>
    <col min="51" max="51" width="22.7109375" bestFit="1" customWidth="1"/>
    <col min="52" max="52" width="9.140625" customWidth="1"/>
  </cols>
  <sheetData>
    <row r="1" spans="1:51" hidden="1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s="3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t="s">
        <v>33</v>
      </c>
      <c r="AF1" t="s">
        <v>34</v>
      </c>
      <c r="AG1" t="s">
        <v>35</v>
      </c>
      <c r="AH1" s="1" t="s">
        <v>36</v>
      </c>
      <c r="AI1" s="1" t="s">
        <v>37</v>
      </c>
      <c r="AJ1" s="1" t="s">
        <v>38</v>
      </c>
      <c r="AK1" t="s">
        <v>39</v>
      </c>
      <c r="AL1" s="1" t="s">
        <v>40</v>
      </c>
      <c r="AM1" t="s">
        <v>41</v>
      </c>
      <c r="AN1" t="s">
        <v>42</v>
      </c>
      <c r="AO1" t="s">
        <v>43</v>
      </c>
      <c r="AP1" s="1" t="s">
        <v>44</v>
      </c>
      <c r="AQ1" s="1" t="s">
        <v>566</v>
      </c>
      <c r="AR1" s="1" t="s">
        <v>567</v>
      </c>
      <c r="AS1" s="1" t="s">
        <v>568</v>
      </c>
      <c r="AT1" s="1" t="s">
        <v>45</v>
      </c>
      <c r="AU1" s="1" t="s">
        <v>569</v>
      </c>
      <c r="AV1" s="1" t="s">
        <v>570</v>
      </c>
      <c r="AW1" s="1" t="s">
        <v>571</v>
      </c>
      <c r="AX1" t="s">
        <v>50</v>
      </c>
      <c r="AY1" t="s">
        <v>51</v>
      </c>
    </row>
    <row r="2" spans="1:51" s="2" customFormat="1" x14ac:dyDescent="0.25">
      <c r="A2" s="2" t="s">
        <v>52</v>
      </c>
      <c r="B2" s="2" t="s">
        <v>1</v>
      </c>
      <c r="C2" s="2" t="s">
        <v>53</v>
      </c>
      <c r="D2" s="2" t="s">
        <v>6</v>
      </c>
      <c r="E2" s="2" t="s">
        <v>7</v>
      </c>
      <c r="F2" s="4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566</v>
      </c>
      <c r="AR2" s="2" t="s">
        <v>567</v>
      </c>
      <c r="AS2" s="2" t="s">
        <v>568</v>
      </c>
      <c r="AT2" s="2" t="s">
        <v>45</v>
      </c>
      <c r="AU2" s="2" t="s">
        <v>569</v>
      </c>
      <c r="AV2" s="2" t="s">
        <v>570</v>
      </c>
      <c r="AW2" s="2" t="s">
        <v>571</v>
      </c>
      <c r="AX2" s="2" t="s">
        <v>50</v>
      </c>
      <c r="AY2" s="2" t="s">
        <v>51</v>
      </c>
    </row>
    <row r="3" spans="1:51" x14ac:dyDescent="0.25">
      <c r="B3" s="1" t="s">
        <v>54</v>
      </c>
      <c r="E3" t="s">
        <v>572</v>
      </c>
      <c r="F3" s="3" t="s">
        <v>58</v>
      </c>
      <c r="G3" s="1" t="s">
        <v>54</v>
      </c>
      <c r="H3" s="1" t="s">
        <v>59</v>
      </c>
      <c r="I3" s="1" t="s">
        <v>60</v>
      </c>
      <c r="M3" s="1" t="s">
        <v>542</v>
      </c>
      <c r="O3" s="1" t="s">
        <v>99</v>
      </c>
      <c r="Q3" s="1" t="s">
        <v>63</v>
      </c>
      <c r="R3" s="1" t="s">
        <v>63</v>
      </c>
      <c r="S3" s="1" t="s">
        <v>59</v>
      </c>
      <c r="T3" s="1" t="s">
        <v>573</v>
      </c>
      <c r="W3" s="1" t="s">
        <v>574</v>
      </c>
      <c r="X3" s="1" t="str">
        <f>REPLACE(W3, 9, 0, " DN" &amp; G3)</f>
        <v xml:space="preserve">Studbolt DN15 ASTM A193-B7-Nuts ASTM A194-2H </v>
      </c>
      <c r="Y3" s="1" t="s">
        <v>66</v>
      </c>
      <c r="AE3" t="s">
        <v>575</v>
      </c>
      <c r="AK3" t="s">
        <v>130</v>
      </c>
      <c r="AM3" t="s">
        <v>547</v>
      </c>
      <c r="AX3" t="s">
        <v>576</v>
      </c>
    </row>
    <row r="4" spans="1:51" x14ac:dyDescent="0.25">
      <c r="B4" s="1" t="s">
        <v>71</v>
      </c>
      <c r="E4" t="s">
        <v>577</v>
      </c>
      <c r="F4" s="3" t="s">
        <v>58</v>
      </c>
      <c r="G4" s="1" t="s">
        <v>71</v>
      </c>
      <c r="H4" s="1" t="s">
        <v>59</v>
      </c>
      <c r="I4" s="1" t="s">
        <v>73</v>
      </c>
      <c r="M4" s="1" t="s">
        <v>542</v>
      </c>
      <c r="O4" s="1" t="s">
        <v>99</v>
      </c>
      <c r="Q4" s="1" t="s">
        <v>63</v>
      </c>
      <c r="R4" s="1" t="s">
        <v>63</v>
      </c>
      <c r="S4" s="1" t="s">
        <v>59</v>
      </c>
      <c r="T4" s="1" t="s">
        <v>573</v>
      </c>
      <c r="W4" s="1" t="s">
        <v>574</v>
      </c>
      <c r="X4" s="1" t="str">
        <f t="shared" ref="X4:X20" si="0">REPLACE(W4, 9, 0, " DN" &amp; G4)</f>
        <v xml:space="preserve">Studbolt DN20 ASTM A193-B7-Nuts ASTM A194-2H </v>
      </c>
      <c r="Y4" s="1" t="s">
        <v>66</v>
      </c>
      <c r="AE4" t="s">
        <v>575</v>
      </c>
      <c r="AK4" t="s">
        <v>130</v>
      </c>
      <c r="AM4" t="s">
        <v>547</v>
      </c>
      <c r="AX4" t="s">
        <v>576</v>
      </c>
    </row>
    <row r="5" spans="1:51" x14ac:dyDescent="0.25">
      <c r="B5" s="1" t="s">
        <v>74</v>
      </c>
      <c r="E5" t="s">
        <v>578</v>
      </c>
      <c r="F5" s="3" t="s">
        <v>58</v>
      </c>
      <c r="G5" s="1" t="s">
        <v>74</v>
      </c>
      <c r="H5" s="1" t="s">
        <v>59</v>
      </c>
      <c r="I5" s="1" t="s">
        <v>76</v>
      </c>
      <c r="M5" s="1" t="s">
        <v>542</v>
      </c>
      <c r="O5" s="1" t="s">
        <v>99</v>
      </c>
      <c r="Q5" s="1" t="s">
        <v>63</v>
      </c>
      <c r="R5" s="1" t="s">
        <v>63</v>
      </c>
      <c r="S5" s="1" t="s">
        <v>59</v>
      </c>
      <c r="T5" s="1" t="s">
        <v>573</v>
      </c>
      <c r="W5" s="1" t="s">
        <v>574</v>
      </c>
      <c r="X5" s="1" t="str">
        <f t="shared" si="0"/>
        <v xml:space="preserve">Studbolt DN25 ASTM A193-B7-Nuts ASTM A194-2H </v>
      </c>
      <c r="Y5" s="1" t="s">
        <v>66</v>
      </c>
      <c r="AE5" t="s">
        <v>575</v>
      </c>
      <c r="AK5" t="s">
        <v>130</v>
      </c>
      <c r="AM5" t="s">
        <v>547</v>
      </c>
      <c r="AX5" t="s">
        <v>576</v>
      </c>
    </row>
    <row r="6" spans="1:51" x14ac:dyDescent="0.25">
      <c r="B6" s="1" t="s">
        <v>77</v>
      </c>
      <c r="E6" t="s">
        <v>579</v>
      </c>
      <c r="F6" s="3" t="s">
        <v>58</v>
      </c>
      <c r="G6" s="1" t="s">
        <v>77</v>
      </c>
      <c r="H6" s="1" t="s">
        <v>59</v>
      </c>
      <c r="I6" s="1" t="s">
        <v>79</v>
      </c>
      <c r="M6" s="1" t="s">
        <v>542</v>
      </c>
      <c r="O6" s="1" t="s">
        <v>99</v>
      </c>
      <c r="Q6" s="1" t="s">
        <v>63</v>
      </c>
      <c r="R6" s="1" t="s">
        <v>63</v>
      </c>
      <c r="S6" s="1" t="s">
        <v>59</v>
      </c>
      <c r="T6" s="1" t="s">
        <v>573</v>
      </c>
      <c r="W6" s="1" t="s">
        <v>574</v>
      </c>
      <c r="X6" s="1" t="str">
        <f t="shared" si="0"/>
        <v xml:space="preserve">Studbolt DN32 ASTM A193-B7-Nuts ASTM A194-2H </v>
      </c>
      <c r="Y6" s="1" t="s">
        <v>66</v>
      </c>
      <c r="AE6" t="s">
        <v>575</v>
      </c>
      <c r="AK6" t="s">
        <v>130</v>
      </c>
      <c r="AM6" t="s">
        <v>547</v>
      </c>
      <c r="AX6" t="s">
        <v>576</v>
      </c>
    </row>
    <row r="7" spans="1:51" x14ac:dyDescent="0.25">
      <c r="B7" s="1" t="s">
        <v>62</v>
      </c>
      <c r="E7" t="s">
        <v>580</v>
      </c>
      <c r="F7" s="3" t="s">
        <v>58</v>
      </c>
      <c r="G7" s="1" t="s">
        <v>62</v>
      </c>
      <c r="H7" s="1" t="s">
        <v>59</v>
      </c>
      <c r="I7" s="1" t="s">
        <v>82</v>
      </c>
      <c r="M7" s="1" t="s">
        <v>542</v>
      </c>
      <c r="O7" s="1" t="s">
        <v>99</v>
      </c>
      <c r="Q7" s="1" t="s">
        <v>63</v>
      </c>
      <c r="R7" s="1" t="s">
        <v>63</v>
      </c>
      <c r="S7" s="1" t="s">
        <v>59</v>
      </c>
      <c r="T7" s="1" t="s">
        <v>573</v>
      </c>
      <c r="W7" s="1" t="s">
        <v>574</v>
      </c>
      <c r="X7" s="1" t="str">
        <f t="shared" si="0"/>
        <v xml:space="preserve">Studbolt DN40 ASTM A193-B7-Nuts ASTM A194-2H </v>
      </c>
      <c r="Y7" s="1" t="s">
        <v>66</v>
      </c>
      <c r="AE7" t="s">
        <v>575</v>
      </c>
      <c r="AK7" t="s">
        <v>130</v>
      </c>
      <c r="AM7" t="s">
        <v>547</v>
      </c>
      <c r="AX7" t="s">
        <v>576</v>
      </c>
    </row>
    <row r="8" spans="1:51" x14ac:dyDescent="0.25">
      <c r="B8" s="1" t="s">
        <v>83</v>
      </c>
      <c r="E8" t="s">
        <v>581</v>
      </c>
      <c r="F8" s="3" t="s">
        <v>58</v>
      </c>
      <c r="G8" s="1" t="s">
        <v>83</v>
      </c>
      <c r="H8" s="1" t="s">
        <v>59</v>
      </c>
      <c r="I8" s="1" t="s">
        <v>85</v>
      </c>
      <c r="M8" s="1" t="s">
        <v>542</v>
      </c>
      <c r="O8" s="1" t="s">
        <v>99</v>
      </c>
      <c r="Q8" s="1" t="s">
        <v>63</v>
      </c>
      <c r="R8" s="1" t="s">
        <v>63</v>
      </c>
      <c r="S8" s="1" t="s">
        <v>59</v>
      </c>
      <c r="T8" s="1" t="s">
        <v>573</v>
      </c>
      <c r="W8" s="1" t="s">
        <v>574</v>
      </c>
      <c r="X8" s="1" t="str">
        <f t="shared" si="0"/>
        <v xml:space="preserve">Studbolt DN50 ASTM A193-B7-Nuts ASTM A194-2H </v>
      </c>
      <c r="Y8" s="1" t="s">
        <v>66</v>
      </c>
      <c r="AE8" t="s">
        <v>575</v>
      </c>
      <c r="AK8" t="s">
        <v>130</v>
      </c>
      <c r="AM8" t="s">
        <v>547</v>
      </c>
      <c r="AX8" t="s">
        <v>576</v>
      </c>
    </row>
    <row r="9" spans="1:51" x14ac:dyDescent="0.25">
      <c r="B9" s="1" t="s">
        <v>86</v>
      </c>
      <c r="E9" t="s">
        <v>582</v>
      </c>
      <c r="F9" s="3" t="s">
        <v>58</v>
      </c>
      <c r="G9" s="1" t="s">
        <v>86</v>
      </c>
      <c r="H9" s="1" t="s">
        <v>59</v>
      </c>
      <c r="I9" s="1" t="s">
        <v>88</v>
      </c>
      <c r="M9" s="1" t="s">
        <v>542</v>
      </c>
      <c r="O9" s="1" t="s">
        <v>99</v>
      </c>
      <c r="Q9" s="1" t="s">
        <v>63</v>
      </c>
      <c r="R9" s="1" t="s">
        <v>63</v>
      </c>
      <c r="S9" s="1" t="s">
        <v>59</v>
      </c>
      <c r="T9" s="1" t="s">
        <v>573</v>
      </c>
      <c r="W9" s="1" t="s">
        <v>574</v>
      </c>
      <c r="X9" s="1" t="str">
        <f t="shared" si="0"/>
        <v xml:space="preserve">Studbolt DN65 ASTM A193-B7-Nuts ASTM A194-2H </v>
      </c>
      <c r="Y9" s="1" t="s">
        <v>66</v>
      </c>
      <c r="AE9" t="s">
        <v>575</v>
      </c>
      <c r="AK9" t="s">
        <v>130</v>
      </c>
      <c r="AM9" t="s">
        <v>547</v>
      </c>
      <c r="AX9" t="s">
        <v>576</v>
      </c>
    </row>
    <row r="10" spans="1:51" x14ac:dyDescent="0.25">
      <c r="B10" s="1" t="s">
        <v>89</v>
      </c>
      <c r="E10" t="s">
        <v>583</v>
      </c>
      <c r="F10" s="3" t="s">
        <v>58</v>
      </c>
      <c r="G10" s="1" t="s">
        <v>89</v>
      </c>
      <c r="H10" s="1" t="s">
        <v>59</v>
      </c>
      <c r="I10" s="1" t="s">
        <v>91</v>
      </c>
      <c r="M10" s="1" t="s">
        <v>542</v>
      </c>
      <c r="O10" s="1" t="s">
        <v>99</v>
      </c>
      <c r="Q10" s="1" t="s">
        <v>63</v>
      </c>
      <c r="R10" s="1" t="s">
        <v>63</v>
      </c>
      <c r="S10" s="1" t="s">
        <v>59</v>
      </c>
      <c r="T10" s="1" t="s">
        <v>573</v>
      </c>
      <c r="W10" s="1" t="s">
        <v>574</v>
      </c>
      <c r="X10" s="1" t="str">
        <f t="shared" si="0"/>
        <v xml:space="preserve">Studbolt DN80 ASTM A193-B7-Nuts ASTM A194-2H </v>
      </c>
      <c r="Y10" s="1" t="s">
        <v>66</v>
      </c>
      <c r="AE10" t="s">
        <v>575</v>
      </c>
      <c r="AK10" t="s">
        <v>130</v>
      </c>
      <c r="AM10" t="s">
        <v>547</v>
      </c>
      <c r="AX10" t="s">
        <v>576</v>
      </c>
    </row>
    <row r="11" spans="1:51" x14ac:dyDescent="0.25">
      <c r="B11" s="1" t="s">
        <v>92</v>
      </c>
      <c r="E11" t="s">
        <v>584</v>
      </c>
      <c r="F11" s="3" t="s">
        <v>58</v>
      </c>
      <c r="G11" s="1" t="s">
        <v>92</v>
      </c>
      <c r="H11" s="1" t="s">
        <v>59</v>
      </c>
      <c r="I11" s="1" t="s">
        <v>92</v>
      </c>
      <c r="M11" s="1" t="s">
        <v>542</v>
      </c>
      <c r="O11" s="1" t="s">
        <v>99</v>
      </c>
      <c r="Q11" s="1" t="s">
        <v>63</v>
      </c>
      <c r="R11" s="1" t="s">
        <v>63</v>
      </c>
      <c r="S11" s="1" t="s">
        <v>59</v>
      </c>
      <c r="T11" s="1" t="s">
        <v>573</v>
      </c>
      <c r="W11" s="1" t="s">
        <v>574</v>
      </c>
      <c r="X11" s="1" t="str">
        <f t="shared" si="0"/>
        <v xml:space="preserve">Studbolt DN90 ASTM A193-B7-Nuts ASTM A194-2H </v>
      </c>
      <c r="Y11" s="1" t="s">
        <v>66</v>
      </c>
      <c r="AE11" t="s">
        <v>575</v>
      </c>
      <c r="AK11" t="s">
        <v>130</v>
      </c>
      <c r="AM11" t="s">
        <v>547</v>
      </c>
      <c r="AX11" t="s">
        <v>576</v>
      </c>
    </row>
    <row r="12" spans="1:51" x14ac:dyDescent="0.25">
      <c r="B12" s="1" t="s">
        <v>94</v>
      </c>
      <c r="E12" t="s">
        <v>585</v>
      </c>
      <c r="F12" s="3" t="s">
        <v>58</v>
      </c>
      <c r="G12" s="1" t="s">
        <v>94</v>
      </c>
      <c r="H12" s="1" t="s">
        <v>59</v>
      </c>
      <c r="I12" s="1" t="s">
        <v>96</v>
      </c>
      <c r="M12" s="1" t="s">
        <v>542</v>
      </c>
      <c r="O12" s="1" t="s">
        <v>99</v>
      </c>
      <c r="Q12" s="1" t="s">
        <v>63</v>
      </c>
      <c r="R12" s="1" t="s">
        <v>63</v>
      </c>
      <c r="S12" s="1" t="s">
        <v>59</v>
      </c>
      <c r="T12" s="1" t="s">
        <v>573</v>
      </c>
      <c r="W12" s="1" t="s">
        <v>574</v>
      </c>
      <c r="X12" s="1" t="str">
        <f t="shared" si="0"/>
        <v xml:space="preserve">Studbolt DN100 ASTM A193-B7-Nuts ASTM A194-2H </v>
      </c>
      <c r="Y12" s="1" t="s">
        <v>66</v>
      </c>
      <c r="AE12" t="s">
        <v>575</v>
      </c>
      <c r="AK12" t="s">
        <v>130</v>
      </c>
      <c r="AM12" t="s">
        <v>547</v>
      </c>
      <c r="AX12" t="s">
        <v>576</v>
      </c>
    </row>
    <row r="13" spans="1:51" x14ac:dyDescent="0.25">
      <c r="B13" s="1" t="s">
        <v>97</v>
      </c>
      <c r="E13" t="s">
        <v>586</v>
      </c>
      <c r="F13" s="3" t="s">
        <v>58</v>
      </c>
      <c r="G13" s="1" t="s">
        <v>97</v>
      </c>
      <c r="H13" s="1" t="s">
        <v>59</v>
      </c>
      <c r="I13" s="1" t="s">
        <v>97</v>
      </c>
      <c r="M13" s="1" t="s">
        <v>542</v>
      </c>
      <c r="O13" s="1" t="s">
        <v>99</v>
      </c>
      <c r="Q13" s="1" t="s">
        <v>63</v>
      </c>
      <c r="R13" s="1" t="s">
        <v>63</v>
      </c>
      <c r="S13" s="1" t="s">
        <v>59</v>
      </c>
      <c r="T13" s="1" t="s">
        <v>573</v>
      </c>
      <c r="W13" s="1" t="s">
        <v>574</v>
      </c>
      <c r="X13" s="1" t="str">
        <f t="shared" si="0"/>
        <v xml:space="preserve">Studbolt DN125 ASTM A193-B7-Nuts ASTM A194-2H </v>
      </c>
      <c r="Y13" s="1" t="s">
        <v>66</v>
      </c>
      <c r="AE13" t="s">
        <v>575</v>
      </c>
      <c r="AK13" t="s">
        <v>130</v>
      </c>
      <c r="AM13" t="s">
        <v>547</v>
      </c>
      <c r="AX13" t="s">
        <v>576</v>
      </c>
    </row>
    <row r="14" spans="1:51" x14ac:dyDescent="0.25">
      <c r="B14" s="1" t="s">
        <v>99</v>
      </c>
      <c r="E14" t="s">
        <v>587</v>
      </c>
      <c r="F14" s="3" t="s">
        <v>58</v>
      </c>
      <c r="G14" s="1" t="s">
        <v>99</v>
      </c>
      <c r="H14" s="1" t="s">
        <v>59</v>
      </c>
      <c r="I14" s="1" t="s">
        <v>101</v>
      </c>
      <c r="M14" s="1" t="s">
        <v>542</v>
      </c>
      <c r="O14" s="1" t="s">
        <v>99</v>
      </c>
      <c r="Q14" s="1" t="s">
        <v>63</v>
      </c>
      <c r="R14" s="1" t="s">
        <v>63</v>
      </c>
      <c r="S14" s="1" t="s">
        <v>59</v>
      </c>
      <c r="T14" s="1" t="s">
        <v>573</v>
      </c>
      <c r="W14" s="1" t="s">
        <v>574</v>
      </c>
      <c r="X14" s="1" t="str">
        <f t="shared" si="0"/>
        <v xml:space="preserve">Studbolt DN150 ASTM A193-B7-Nuts ASTM A194-2H </v>
      </c>
      <c r="Y14" s="1" t="s">
        <v>66</v>
      </c>
      <c r="AE14" t="s">
        <v>575</v>
      </c>
      <c r="AK14" t="s">
        <v>130</v>
      </c>
      <c r="AM14" t="s">
        <v>547</v>
      </c>
      <c r="AX14" t="s">
        <v>576</v>
      </c>
    </row>
    <row r="15" spans="1:51" x14ac:dyDescent="0.25">
      <c r="B15" s="1" t="s">
        <v>102</v>
      </c>
      <c r="E15" t="s">
        <v>588</v>
      </c>
      <c r="F15" s="3" t="s">
        <v>58</v>
      </c>
      <c r="G15" s="1" t="s">
        <v>102</v>
      </c>
      <c r="H15" s="1" t="s">
        <v>59</v>
      </c>
      <c r="I15" s="1" t="s">
        <v>104</v>
      </c>
      <c r="M15" s="1" t="s">
        <v>542</v>
      </c>
      <c r="O15" s="1" t="s">
        <v>99</v>
      </c>
      <c r="Q15" s="1" t="s">
        <v>63</v>
      </c>
      <c r="R15" s="1" t="s">
        <v>63</v>
      </c>
      <c r="S15" s="1" t="s">
        <v>59</v>
      </c>
      <c r="T15" s="1" t="s">
        <v>573</v>
      </c>
      <c r="W15" s="1" t="s">
        <v>574</v>
      </c>
      <c r="X15" s="1" t="str">
        <f t="shared" si="0"/>
        <v xml:space="preserve">Studbolt DN200 ASTM A193-B7-Nuts ASTM A194-2H </v>
      </c>
      <c r="Y15" s="1" t="s">
        <v>66</v>
      </c>
      <c r="AE15" t="s">
        <v>575</v>
      </c>
      <c r="AK15" t="s">
        <v>130</v>
      </c>
      <c r="AM15" t="s">
        <v>547</v>
      </c>
      <c r="AX15" t="s">
        <v>576</v>
      </c>
    </row>
    <row r="16" spans="1:51" x14ac:dyDescent="0.25">
      <c r="B16" s="1" t="s">
        <v>105</v>
      </c>
      <c r="E16" t="s">
        <v>589</v>
      </c>
      <c r="F16" s="3" t="s">
        <v>58</v>
      </c>
      <c r="G16" s="1" t="s">
        <v>105</v>
      </c>
      <c r="H16" s="1" t="s">
        <v>59</v>
      </c>
      <c r="I16" s="1" t="s">
        <v>107</v>
      </c>
      <c r="M16" s="1" t="s">
        <v>542</v>
      </c>
      <c r="O16" s="1" t="s">
        <v>99</v>
      </c>
      <c r="Q16" s="1" t="s">
        <v>63</v>
      </c>
      <c r="R16" s="1" t="s">
        <v>63</v>
      </c>
      <c r="S16" s="1" t="s">
        <v>59</v>
      </c>
      <c r="T16" s="1" t="s">
        <v>573</v>
      </c>
      <c r="W16" s="1" t="s">
        <v>574</v>
      </c>
      <c r="X16" s="1" t="str">
        <f t="shared" si="0"/>
        <v xml:space="preserve">Studbolt DN250 ASTM A193-B7-Nuts ASTM A194-2H </v>
      </c>
      <c r="Y16" s="1" t="s">
        <v>66</v>
      </c>
      <c r="AE16" t="s">
        <v>575</v>
      </c>
      <c r="AK16" t="s">
        <v>130</v>
      </c>
      <c r="AM16" t="s">
        <v>547</v>
      </c>
      <c r="AX16" t="s">
        <v>576</v>
      </c>
    </row>
    <row r="17" spans="2:50" x14ac:dyDescent="0.25">
      <c r="B17" s="1" t="s">
        <v>108</v>
      </c>
      <c r="E17" t="s">
        <v>590</v>
      </c>
      <c r="F17" s="3" t="s">
        <v>58</v>
      </c>
      <c r="G17" s="1" t="s">
        <v>108</v>
      </c>
      <c r="H17" s="1" t="s">
        <v>59</v>
      </c>
      <c r="I17" s="1" t="s">
        <v>110</v>
      </c>
      <c r="M17" s="1" t="s">
        <v>542</v>
      </c>
      <c r="O17" s="1" t="s">
        <v>99</v>
      </c>
      <c r="Q17" s="1" t="s">
        <v>63</v>
      </c>
      <c r="R17" s="1" t="s">
        <v>63</v>
      </c>
      <c r="S17" s="1" t="s">
        <v>59</v>
      </c>
      <c r="T17" s="1" t="s">
        <v>573</v>
      </c>
      <c r="W17" s="1" t="s">
        <v>574</v>
      </c>
      <c r="X17" s="1" t="str">
        <f t="shared" si="0"/>
        <v xml:space="preserve">Studbolt DN300 ASTM A193-B7-Nuts ASTM A194-2H </v>
      </c>
      <c r="Y17" s="1" t="s">
        <v>66</v>
      </c>
      <c r="AE17" t="s">
        <v>575</v>
      </c>
      <c r="AK17" t="s">
        <v>130</v>
      </c>
      <c r="AM17" t="s">
        <v>547</v>
      </c>
      <c r="AX17" t="s">
        <v>576</v>
      </c>
    </row>
    <row r="18" spans="2:50" x14ac:dyDescent="0.25">
      <c r="B18" s="1" t="s">
        <v>111</v>
      </c>
      <c r="E18" t="s">
        <v>591</v>
      </c>
      <c r="F18" s="3" t="s">
        <v>58</v>
      </c>
      <c r="G18" s="1" t="s">
        <v>111</v>
      </c>
      <c r="H18" s="1" t="s">
        <v>59</v>
      </c>
      <c r="I18" s="1" t="s">
        <v>113</v>
      </c>
      <c r="M18" s="1" t="s">
        <v>542</v>
      </c>
      <c r="O18" s="1" t="s">
        <v>99</v>
      </c>
      <c r="Q18" s="1" t="s">
        <v>63</v>
      </c>
      <c r="R18" s="1" t="s">
        <v>63</v>
      </c>
      <c r="S18" s="1" t="s">
        <v>59</v>
      </c>
      <c r="T18" s="1" t="s">
        <v>573</v>
      </c>
      <c r="W18" s="1" t="s">
        <v>574</v>
      </c>
      <c r="X18" s="1" t="str">
        <f t="shared" si="0"/>
        <v xml:space="preserve">Studbolt DN350 ASTM A193-B7-Nuts ASTM A194-2H </v>
      </c>
      <c r="Y18" s="1" t="s">
        <v>66</v>
      </c>
      <c r="AE18" t="s">
        <v>575</v>
      </c>
      <c r="AK18" t="s">
        <v>130</v>
      </c>
      <c r="AM18" t="s">
        <v>547</v>
      </c>
      <c r="AX18" t="s">
        <v>576</v>
      </c>
    </row>
    <row r="19" spans="2:50" x14ac:dyDescent="0.25">
      <c r="B19" s="1" t="s">
        <v>114</v>
      </c>
      <c r="E19" t="s">
        <v>592</v>
      </c>
      <c r="F19" s="3" t="s">
        <v>58</v>
      </c>
      <c r="G19" s="1" t="s">
        <v>114</v>
      </c>
      <c r="H19" s="1" t="s">
        <v>59</v>
      </c>
      <c r="I19" s="1" t="s">
        <v>116</v>
      </c>
      <c r="M19" s="1" t="s">
        <v>542</v>
      </c>
      <c r="O19" s="1" t="s">
        <v>99</v>
      </c>
      <c r="Q19" s="1" t="s">
        <v>63</v>
      </c>
      <c r="R19" s="1" t="s">
        <v>63</v>
      </c>
      <c r="S19" s="1" t="s">
        <v>59</v>
      </c>
      <c r="T19" s="1" t="s">
        <v>573</v>
      </c>
      <c r="W19" s="1" t="s">
        <v>574</v>
      </c>
      <c r="X19" s="1" t="str">
        <f t="shared" si="0"/>
        <v xml:space="preserve">Studbolt DN400 ASTM A193-B7-Nuts ASTM A194-2H </v>
      </c>
      <c r="Y19" s="1" t="s">
        <v>66</v>
      </c>
      <c r="AE19" t="s">
        <v>575</v>
      </c>
      <c r="AK19" t="s">
        <v>130</v>
      </c>
      <c r="AM19" t="s">
        <v>547</v>
      </c>
      <c r="AX19" t="s">
        <v>576</v>
      </c>
    </row>
    <row r="20" spans="2:50" x14ac:dyDescent="0.25">
      <c r="B20" s="1" t="s">
        <v>117</v>
      </c>
      <c r="E20" t="s">
        <v>593</v>
      </c>
      <c r="F20" s="3" t="s">
        <v>58</v>
      </c>
      <c r="G20" s="1" t="s">
        <v>117</v>
      </c>
      <c r="H20" s="1" t="s">
        <v>59</v>
      </c>
      <c r="I20" s="1" t="s">
        <v>119</v>
      </c>
      <c r="M20" s="1" t="s">
        <v>542</v>
      </c>
      <c r="O20" s="1" t="s">
        <v>99</v>
      </c>
      <c r="Q20" s="1" t="s">
        <v>63</v>
      </c>
      <c r="R20" s="1" t="s">
        <v>63</v>
      </c>
      <c r="S20" s="1" t="s">
        <v>59</v>
      </c>
      <c r="T20" s="1" t="s">
        <v>573</v>
      </c>
      <c r="W20" s="1" t="s">
        <v>574</v>
      </c>
      <c r="X20" s="1" t="str">
        <f t="shared" si="0"/>
        <v xml:space="preserve">Studbolt DN450 ASTM A193-B7-Nuts ASTM A194-2H </v>
      </c>
      <c r="Y20" s="1" t="s">
        <v>66</v>
      </c>
      <c r="AE20" t="s">
        <v>575</v>
      </c>
      <c r="AK20" t="s">
        <v>130</v>
      </c>
      <c r="AM20" t="s">
        <v>547</v>
      </c>
      <c r="AX20" t="s">
        <v>576</v>
      </c>
    </row>
  </sheetData>
  <sheetProtection formatCells="0" formatColumns="0" insertColumns="0" deleteColumns="0"/>
  <dataValidations disablePrompts="1" count="2">
    <dataValidation type="list" allowBlank="1" showInputMessage="1" showErrorMessage="1" sqref="AB3:AB20" xr:uid="{00000000-0002-0000-1000-000000000000}">
      <formula1>"LB,KG"</formula1>
    </dataValidation>
    <dataValidation type="decimal" allowBlank="1" showInputMessage="1" showErrorMessage="1" sqref="AT3:AT20 AK3:AK20 AG3:AG20 AA3:AA20 Q3:R20 N3:N20 I3:I20 G3:G20" xr:uid="{00000000-0002-0000-1000-000001000000}">
      <formula1>-5</formula1>
      <formula2>100000</formula2>
    </dataValidation>
  </dataValidations>
  <pageMargins left="0.75" right="0.75" top="0.75" bottom="0.5" header="0.5" footer="0.7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 x14ac:dyDescent="0.25"/>
  <sheetData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PIPE_SCH40,BV,40</vt:lpstr>
      <vt:lpstr>BLD_FLRF_CL150,FL</vt:lpstr>
      <vt:lpstr>WN_FLRF_CL150,FL,150</vt:lpstr>
      <vt:lpstr>SO_FLRF_CL150,FL,150</vt:lpstr>
      <vt:lpstr>TEE_REDUCE_SW_CL3000,FL,3</vt:lpstr>
      <vt:lpstr>TEE_EQ_SW_CL3000,FL,3000</vt:lpstr>
      <vt:lpstr>TEE_REDUCE_BW_SCH40,FL,40</vt:lpstr>
      <vt:lpstr>TEE_EQ_BW_SCH40,FL</vt:lpstr>
      <vt:lpstr>REDUCER_ECC_BW_SCH40,FL,4</vt:lpstr>
      <vt:lpstr>REDUCER_CONC_BW_SCH40,FL,</vt:lpstr>
      <vt:lpstr>ELBOW_45_SW_CL3000,FL,300</vt:lpstr>
      <vt:lpstr>ELBOW_45_LR_BW_SCH40,FL,4</vt:lpstr>
      <vt:lpstr>ELBOW_90_SR_BW_SCH40,FL,4</vt:lpstr>
      <vt:lpstr>ELBOW_90_SW_CL3000,FL,300</vt:lpstr>
      <vt:lpstr>ELBOW_90_LR_BW_SCH40,FL,4</vt:lpstr>
      <vt:lpstr>GSK_RF_CL150,FL,150</vt:lpstr>
      <vt:lpstr>STUD_RF_CL150,</vt:lpstr>
      <vt:lpstr>Catalog Data Flag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 Dinh Cao</cp:lastModifiedBy>
  <dcterms:created xsi:type="dcterms:W3CDTF">2026-06-16T07:42:10Z</dcterms:created>
  <dcterms:modified xsi:type="dcterms:W3CDTF">2026-06-16T08:23:32Z</dcterms:modified>
</cp:coreProperties>
</file>